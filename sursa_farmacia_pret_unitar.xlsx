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bon_medical\"/>
    </mc:Choice>
  </mc:AlternateContent>
  <xr:revisionPtr revIDLastSave="0" documentId="8_{AB247C68-5027-4758-8342-006BC2367E43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Лист3" sheetId="1" r:id="rId1"/>
    <sheet name="Export_preturi" sheetId="2" r:id="rId2"/>
    <sheet name="Instrucțiun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41" i="2" l="1"/>
  <c r="G741" i="2"/>
  <c r="J740" i="2"/>
  <c r="G740" i="2"/>
  <c r="J739" i="2"/>
  <c r="G739" i="2"/>
  <c r="J738" i="2"/>
  <c r="G738" i="2"/>
  <c r="J737" i="2"/>
  <c r="G737" i="2"/>
  <c r="J736" i="2"/>
  <c r="G736" i="2"/>
  <c r="J735" i="2"/>
  <c r="G735" i="2"/>
  <c r="J734" i="2"/>
  <c r="G734" i="2"/>
  <c r="J733" i="2"/>
  <c r="G733" i="2"/>
  <c r="J732" i="2"/>
  <c r="G732" i="2"/>
  <c r="J731" i="2"/>
  <c r="G731" i="2"/>
  <c r="J730" i="2"/>
  <c r="G730" i="2"/>
  <c r="J729" i="2"/>
  <c r="G729" i="2"/>
  <c r="J728" i="2"/>
  <c r="G728" i="2"/>
  <c r="J727" i="2"/>
  <c r="G727" i="2"/>
  <c r="J726" i="2"/>
  <c r="G726" i="2"/>
  <c r="J725" i="2"/>
  <c r="G725" i="2"/>
  <c r="J724" i="2"/>
  <c r="G724" i="2"/>
  <c r="J723" i="2"/>
  <c r="G723" i="2"/>
  <c r="J722" i="2"/>
  <c r="G722" i="2"/>
  <c r="J721" i="2"/>
  <c r="G721" i="2"/>
  <c r="J720" i="2"/>
  <c r="G720" i="2"/>
  <c r="J719" i="2"/>
  <c r="G719" i="2"/>
  <c r="J718" i="2"/>
  <c r="G718" i="2"/>
  <c r="J717" i="2"/>
  <c r="G717" i="2"/>
  <c r="J716" i="2"/>
  <c r="G716" i="2"/>
  <c r="J715" i="2"/>
  <c r="G715" i="2"/>
  <c r="J714" i="2"/>
  <c r="G714" i="2"/>
  <c r="J713" i="2"/>
  <c r="G713" i="2"/>
  <c r="J712" i="2"/>
  <c r="G712" i="2"/>
  <c r="J711" i="2"/>
  <c r="G711" i="2"/>
  <c r="J710" i="2"/>
  <c r="G710" i="2"/>
  <c r="J709" i="2"/>
  <c r="G709" i="2"/>
  <c r="J708" i="2"/>
  <c r="G708" i="2"/>
  <c r="J707" i="2"/>
  <c r="G707" i="2"/>
  <c r="J706" i="2"/>
  <c r="G706" i="2"/>
  <c r="J705" i="2"/>
  <c r="G705" i="2"/>
  <c r="J704" i="2"/>
  <c r="G704" i="2"/>
  <c r="J703" i="2"/>
  <c r="G703" i="2"/>
  <c r="J702" i="2"/>
  <c r="G702" i="2"/>
  <c r="J701" i="2"/>
  <c r="G701" i="2"/>
  <c r="J700" i="2"/>
  <c r="G700" i="2"/>
  <c r="J699" i="2"/>
  <c r="G699" i="2"/>
  <c r="J698" i="2"/>
  <c r="G698" i="2"/>
  <c r="J697" i="2"/>
  <c r="G697" i="2"/>
  <c r="J696" i="2"/>
  <c r="G696" i="2"/>
  <c r="J695" i="2"/>
  <c r="G695" i="2"/>
  <c r="J694" i="2"/>
  <c r="G694" i="2"/>
  <c r="J693" i="2"/>
  <c r="G693" i="2"/>
  <c r="J692" i="2"/>
  <c r="G692" i="2"/>
  <c r="J691" i="2"/>
  <c r="G691" i="2"/>
  <c r="J690" i="2"/>
  <c r="G690" i="2"/>
  <c r="J689" i="2"/>
  <c r="G689" i="2"/>
  <c r="J688" i="2"/>
  <c r="G688" i="2"/>
  <c r="J687" i="2"/>
  <c r="G687" i="2"/>
  <c r="J686" i="2"/>
  <c r="G686" i="2"/>
  <c r="J685" i="2"/>
  <c r="G685" i="2"/>
  <c r="J684" i="2"/>
  <c r="G684" i="2"/>
  <c r="J683" i="2"/>
  <c r="G683" i="2"/>
  <c r="J682" i="2"/>
  <c r="G682" i="2"/>
  <c r="J681" i="2"/>
  <c r="G681" i="2"/>
  <c r="J680" i="2"/>
  <c r="G680" i="2"/>
  <c r="J679" i="2"/>
  <c r="G679" i="2"/>
  <c r="J678" i="2"/>
  <c r="G678" i="2"/>
  <c r="J677" i="2"/>
  <c r="G677" i="2"/>
  <c r="J676" i="2"/>
  <c r="G676" i="2"/>
  <c r="J675" i="2"/>
  <c r="G675" i="2"/>
  <c r="J674" i="2"/>
  <c r="G674" i="2"/>
  <c r="J673" i="2"/>
  <c r="G673" i="2"/>
  <c r="J672" i="2"/>
  <c r="G672" i="2"/>
  <c r="J671" i="2"/>
  <c r="G671" i="2"/>
  <c r="J670" i="2"/>
  <c r="G670" i="2"/>
  <c r="J669" i="2"/>
  <c r="G669" i="2"/>
  <c r="J668" i="2"/>
  <c r="G668" i="2"/>
  <c r="J667" i="2"/>
  <c r="G667" i="2"/>
  <c r="J666" i="2"/>
  <c r="G666" i="2"/>
  <c r="J665" i="2"/>
  <c r="G665" i="2"/>
  <c r="J664" i="2"/>
  <c r="G664" i="2"/>
  <c r="J663" i="2"/>
  <c r="G663" i="2"/>
  <c r="J662" i="2"/>
  <c r="G662" i="2"/>
  <c r="J661" i="2"/>
  <c r="G661" i="2"/>
  <c r="J660" i="2"/>
  <c r="G660" i="2"/>
  <c r="J659" i="2"/>
  <c r="G659" i="2"/>
  <c r="J658" i="2"/>
  <c r="G658" i="2"/>
  <c r="J657" i="2"/>
  <c r="G657" i="2"/>
  <c r="J656" i="2"/>
  <c r="G656" i="2"/>
  <c r="J655" i="2"/>
  <c r="G655" i="2"/>
  <c r="J654" i="2"/>
  <c r="G654" i="2"/>
  <c r="J653" i="2"/>
  <c r="G653" i="2"/>
  <c r="J652" i="2"/>
  <c r="G652" i="2"/>
  <c r="J651" i="2"/>
  <c r="G651" i="2"/>
  <c r="J650" i="2"/>
  <c r="G650" i="2"/>
  <c r="J649" i="2"/>
  <c r="G649" i="2"/>
  <c r="J648" i="2"/>
  <c r="G648" i="2"/>
  <c r="J647" i="2"/>
  <c r="G647" i="2"/>
  <c r="J646" i="2"/>
  <c r="G646" i="2"/>
  <c r="J645" i="2"/>
  <c r="G645" i="2"/>
  <c r="J644" i="2"/>
  <c r="G644" i="2"/>
  <c r="J643" i="2"/>
  <c r="G643" i="2"/>
  <c r="J642" i="2"/>
  <c r="G642" i="2"/>
  <c r="J641" i="2"/>
  <c r="G641" i="2"/>
  <c r="J640" i="2"/>
  <c r="G640" i="2"/>
  <c r="J639" i="2"/>
  <c r="G639" i="2"/>
  <c r="J638" i="2"/>
  <c r="G638" i="2"/>
  <c r="J637" i="2"/>
  <c r="G637" i="2"/>
  <c r="J636" i="2"/>
  <c r="G636" i="2"/>
  <c r="J635" i="2"/>
  <c r="G635" i="2"/>
  <c r="J634" i="2"/>
  <c r="G634" i="2"/>
  <c r="J633" i="2"/>
  <c r="G633" i="2"/>
  <c r="J632" i="2"/>
  <c r="G632" i="2"/>
  <c r="J631" i="2"/>
  <c r="G631" i="2"/>
  <c r="J630" i="2"/>
  <c r="G630" i="2"/>
  <c r="J629" i="2"/>
  <c r="G629" i="2"/>
  <c r="J628" i="2"/>
  <c r="G628" i="2"/>
  <c r="J627" i="2"/>
  <c r="G627" i="2"/>
  <c r="J626" i="2"/>
  <c r="G626" i="2"/>
  <c r="J625" i="2"/>
  <c r="G625" i="2"/>
  <c r="J624" i="2"/>
  <c r="G624" i="2"/>
  <c r="J623" i="2"/>
  <c r="G623" i="2"/>
  <c r="J622" i="2"/>
  <c r="G622" i="2"/>
  <c r="J621" i="2"/>
  <c r="G621" i="2"/>
  <c r="J620" i="2"/>
  <c r="G620" i="2"/>
  <c r="J619" i="2"/>
  <c r="G619" i="2"/>
  <c r="J618" i="2"/>
  <c r="G618" i="2"/>
  <c r="J617" i="2"/>
  <c r="G617" i="2"/>
  <c r="J616" i="2"/>
  <c r="G616" i="2"/>
  <c r="J615" i="2"/>
  <c r="G615" i="2"/>
  <c r="J614" i="2"/>
  <c r="G614" i="2"/>
  <c r="J613" i="2"/>
  <c r="G613" i="2"/>
  <c r="J612" i="2"/>
  <c r="G612" i="2"/>
  <c r="J611" i="2"/>
  <c r="G611" i="2"/>
  <c r="J610" i="2"/>
  <c r="G610" i="2"/>
  <c r="J609" i="2"/>
  <c r="G609" i="2"/>
  <c r="J608" i="2"/>
  <c r="G608" i="2"/>
  <c r="J607" i="2"/>
  <c r="G607" i="2"/>
  <c r="J606" i="2"/>
  <c r="G606" i="2"/>
  <c r="J605" i="2"/>
  <c r="G605" i="2"/>
  <c r="J604" i="2"/>
  <c r="G604" i="2"/>
  <c r="J603" i="2"/>
  <c r="G603" i="2"/>
  <c r="J602" i="2"/>
  <c r="G602" i="2"/>
  <c r="J601" i="2"/>
  <c r="G601" i="2"/>
  <c r="J600" i="2"/>
  <c r="G600" i="2"/>
  <c r="J599" i="2"/>
  <c r="G599" i="2"/>
  <c r="J598" i="2"/>
  <c r="G598" i="2"/>
  <c r="J597" i="2"/>
  <c r="G597" i="2"/>
  <c r="J596" i="2"/>
  <c r="G596" i="2"/>
  <c r="J595" i="2"/>
  <c r="G595" i="2"/>
  <c r="J594" i="2"/>
  <c r="G594" i="2"/>
  <c r="J593" i="2"/>
  <c r="G593" i="2"/>
  <c r="J592" i="2"/>
  <c r="G592" i="2"/>
  <c r="J591" i="2"/>
  <c r="G591" i="2"/>
  <c r="J590" i="2"/>
  <c r="G590" i="2"/>
  <c r="J589" i="2"/>
  <c r="G589" i="2"/>
  <c r="J588" i="2"/>
  <c r="G588" i="2"/>
  <c r="J587" i="2"/>
  <c r="G587" i="2"/>
  <c r="J586" i="2"/>
  <c r="G586" i="2"/>
  <c r="J585" i="2"/>
  <c r="G585" i="2"/>
  <c r="J584" i="2"/>
  <c r="G584" i="2"/>
  <c r="J583" i="2"/>
  <c r="G583" i="2"/>
  <c r="J582" i="2"/>
  <c r="G582" i="2"/>
  <c r="J581" i="2"/>
  <c r="G581" i="2"/>
  <c r="J580" i="2"/>
  <c r="G580" i="2"/>
  <c r="J579" i="2"/>
  <c r="G579" i="2"/>
  <c r="J578" i="2"/>
  <c r="G578" i="2"/>
  <c r="J577" i="2"/>
  <c r="G577" i="2"/>
  <c r="J576" i="2"/>
  <c r="G576" i="2"/>
  <c r="J575" i="2"/>
  <c r="G575" i="2"/>
  <c r="J574" i="2"/>
  <c r="G574" i="2"/>
  <c r="J573" i="2"/>
  <c r="G573" i="2"/>
  <c r="J572" i="2"/>
  <c r="G572" i="2"/>
  <c r="J571" i="2"/>
  <c r="G571" i="2"/>
  <c r="J570" i="2"/>
  <c r="G570" i="2"/>
  <c r="J569" i="2"/>
  <c r="G569" i="2"/>
  <c r="J568" i="2"/>
  <c r="G568" i="2"/>
  <c r="J567" i="2"/>
  <c r="G567" i="2"/>
  <c r="J566" i="2"/>
  <c r="G566" i="2"/>
  <c r="J565" i="2"/>
  <c r="G565" i="2"/>
  <c r="J564" i="2"/>
  <c r="G564" i="2"/>
  <c r="J563" i="2"/>
  <c r="G563" i="2"/>
  <c r="J562" i="2"/>
  <c r="G562" i="2"/>
  <c r="J561" i="2"/>
  <c r="G561" i="2"/>
  <c r="J560" i="2"/>
  <c r="G560" i="2"/>
  <c r="J559" i="2"/>
  <c r="G559" i="2"/>
  <c r="J558" i="2"/>
  <c r="G558" i="2"/>
  <c r="J557" i="2"/>
  <c r="G557" i="2"/>
  <c r="J556" i="2"/>
  <c r="G556" i="2"/>
  <c r="J555" i="2"/>
  <c r="G555" i="2"/>
  <c r="J554" i="2"/>
  <c r="G554" i="2"/>
  <c r="J553" i="2"/>
  <c r="G553" i="2"/>
  <c r="J552" i="2"/>
  <c r="G552" i="2"/>
  <c r="J551" i="2"/>
  <c r="G551" i="2"/>
  <c r="J550" i="2"/>
  <c r="G550" i="2"/>
  <c r="J549" i="2"/>
  <c r="G549" i="2"/>
  <c r="J548" i="2"/>
  <c r="G548" i="2"/>
  <c r="J547" i="2"/>
  <c r="G547" i="2"/>
  <c r="J546" i="2"/>
  <c r="G546" i="2"/>
  <c r="J545" i="2"/>
  <c r="G545" i="2"/>
  <c r="J544" i="2"/>
  <c r="G544" i="2"/>
  <c r="J543" i="2"/>
  <c r="G543" i="2"/>
  <c r="J542" i="2"/>
  <c r="G542" i="2"/>
  <c r="J541" i="2"/>
  <c r="G541" i="2"/>
  <c r="J540" i="2"/>
  <c r="G540" i="2"/>
  <c r="J539" i="2"/>
  <c r="G539" i="2"/>
  <c r="J538" i="2"/>
  <c r="G538" i="2"/>
  <c r="J537" i="2"/>
  <c r="G537" i="2"/>
  <c r="J536" i="2"/>
  <c r="G536" i="2"/>
  <c r="J535" i="2"/>
  <c r="G535" i="2"/>
  <c r="J534" i="2"/>
  <c r="G534" i="2"/>
  <c r="J533" i="2"/>
  <c r="G533" i="2"/>
  <c r="J532" i="2"/>
  <c r="G532" i="2"/>
  <c r="J531" i="2"/>
  <c r="G531" i="2"/>
  <c r="J530" i="2"/>
  <c r="G530" i="2"/>
  <c r="J529" i="2"/>
  <c r="G529" i="2"/>
  <c r="J528" i="2"/>
  <c r="G528" i="2"/>
  <c r="J527" i="2"/>
  <c r="G527" i="2"/>
  <c r="J526" i="2"/>
  <c r="G526" i="2"/>
  <c r="J525" i="2"/>
  <c r="G525" i="2"/>
  <c r="J524" i="2"/>
  <c r="G524" i="2"/>
  <c r="J523" i="2"/>
  <c r="G523" i="2"/>
  <c r="J522" i="2"/>
  <c r="G522" i="2"/>
  <c r="J521" i="2"/>
  <c r="G521" i="2"/>
  <c r="J520" i="2"/>
  <c r="G520" i="2"/>
  <c r="J519" i="2"/>
  <c r="G519" i="2"/>
  <c r="J518" i="2"/>
  <c r="G518" i="2"/>
  <c r="J517" i="2"/>
  <c r="G517" i="2"/>
  <c r="J516" i="2"/>
  <c r="G516" i="2"/>
  <c r="J515" i="2"/>
  <c r="G515" i="2"/>
  <c r="J514" i="2"/>
  <c r="G514" i="2"/>
  <c r="J513" i="2"/>
  <c r="G513" i="2"/>
  <c r="J512" i="2"/>
  <c r="G512" i="2"/>
  <c r="J511" i="2"/>
  <c r="G511" i="2"/>
  <c r="J510" i="2"/>
  <c r="G510" i="2"/>
  <c r="J509" i="2"/>
  <c r="G509" i="2"/>
  <c r="J508" i="2"/>
  <c r="G508" i="2"/>
  <c r="J507" i="2"/>
  <c r="G507" i="2"/>
  <c r="J506" i="2"/>
  <c r="G506" i="2"/>
  <c r="J505" i="2"/>
  <c r="G505" i="2"/>
  <c r="J504" i="2"/>
  <c r="G504" i="2"/>
  <c r="J503" i="2"/>
  <c r="G503" i="2"/>
  <c r="J502" i="2"/>
  <c r="G502" i="2"/>
  <c r="J501" i="2"/>
  <c r="G501" i="2"/>
  <c r="J500" i="2"/>
  <c r="G500" i="2"/>
  <c r="J499" i="2"/>
  <c r="G499" i="2"/>
  <c r="J498" i="2"/>
  <c r="G498" i="2"/>
  <c r="J497" i="2"/>
  <c r="G497" i="2"/>
  <c r="J496" i="2"/>
  <c r="G496" i="2"/>
  <c r="J495" i="2"/>
  <c r="G495" i="2"/>
  <c r="J494" i="2"/>
  <c r="G494" i="2"/>
  <c r="J493" i="2"/>
  <c r="G493" i="2"/>
  <c r="J492" i="2"/>
  <c r="G492" i="2"/>
  <c r="J491" i="2"/>
  <c r="G491" i="2"/>
  <c r="J490" i="2"/>
  <c r="G490" i="2"/>
  <c r="J489" i="2"/>
  <c r="G489" i="2"/>
  <c r="J488" i="2"/>
  <c r="G488" i="2"/>
  <c r="J487" i="2"/>
  <c r="G487" i="2"/>
  <c r="J486" i="2"/>
  <c r="G486" i="2"/>
  <c r="J485" i="2"/>
  <c r="G485" i="2"/>
  <c r="J484" i="2"/>
  <c r="G484" i="2"/>
  <c r="J483" i="2"/>
  <c r="G483" i="2"/>
  <c r="J482" i="2"/>
  <c r="G482" i="2"/>
  <c r="J481" i="2"/>
  <c r="G481" i="2"/>
  <c r="J480" i="2"/>
  <c r="G480" i="2"/>
  <c r="J479" i="2"/>
  <c r="G479" i="2"/>
  <c r="J478" i="2"/>
  <c r="G478" i="2"/>
  <c r="J477" i="2"/>
  <c r="G477" i="2"/>
  <c r="J476" i="2"/>
  <c r="G476" i="2"/>
  <c r="J475" i="2"/>
  <c r="G475" i="2"/>
  <c r="J474" i="2"/>
  <c r="G474" i="2"/>
  <c r="J473" i="2"/>
  <c r="G473" i="2"/>
  <c r="J472" i="2"/>
  <c r="G472" i="2"/>
  <c r="J471" i="2"/>
  <c r="G471" i="2"/>
  <c r="J470" i="2"/>
  <c r="G470" i="2"/>
  <c r="J469" i="2"/>
  <c r="G469" i="2"/>
  <c r="J468" i="2"/>
  <c r="G468" i="2"/>
  <c r="J467" i="2"/>
  <c r="G467" i="2"/>
  <c r="J466" i="2"/>
  <c r="G466" i="2"/>
  <c r="J465" i="2"/>
  <c r="G465" i="2"/>
  <c r="J464" i="2"/>
  <c r="G464" i="2"/>
  <c r="J463" i="2"/>
  <c r="G463" i="2"/>
  <c r="J462" i="2"/>
  <c r="G462" i="2"/>
  <c r="J461" i="2"/>
  <c r="G461" i="2"/>
  <c r="J460" i="2"/>
  <c r="G460" i="2"/>
  <c r="J459" i="2"/>
  <c r="G459" i="2"/>
  <c r="J458" i="2"/>
  <c r="G458" i="2"/>
  <c r="J457" i="2"/>
  <c r="G457" i="2"/>
  <c r="J456" i="2"/>
  <c r="G456" i="2"/>
  <c r="J455" i="2"/>
  <c r="G455" i="2"/>
  <c r="J454" i="2"/>
  <c r="G454" i="2"/>
  <c r="J453" i="2"/>
  <c r="G453" i="2"/>
  <c r="J452" i="2"/>
  <c r="G452" i="2"/>
  <c r="J451" i="2"/>
  <c r="G451" i="2"/>
  <c r="J450" i="2"/>
  <c r="G450" i="2"/>
  <c r="J449" i="2"/>
  <c r="G449" i="2"/>
  <c r="J448" i="2"/>
  <c r="G448" i="2"/>
  <c r="J447" i="2"/>
  <c r="G447" i="2"/>
  <c r="J446" i="2"/>
  <c r="G446" i="2"/>
  <c r="J445" i="2"/>
  <c r="G445" i="2"/>
  <c r="J444" i="2"/>
  <c r="G444" i="2"/>
  <c r="J443" i="2"/>
  <c r="G443" i="2"/>
  <c r="J442" i="2"/>
  <c r="G442" i="2"/>
  <c r="J441" i="2"/>
  <c r="G441" i="2"/>
  <c r="J440" i="2"/>
  <c r="G440" i="2"/>
  <c r="J439" i="2"/>
  <c r="G439" i="2"/>
  <c r="J438" i="2"/>
  <c r="G438" i="2"/>
  <c r="J437" i="2"/>
  <c r="G437" i="2"/>
  <c r="J436" i="2"/>
  <c r="G436" i="2"/>
  <c r="J435" i="2"/>
  <c r="G435" i="2"/>
  <c r="J434" i="2"/>
  <c r="G434" i="2"/>
  <c r="J433" i="2"/>
  <c r="G433" i="2"/>
  <c r="J432" i="2"/>
  <c r="G432" i="2"/>
  <c r="J431" i="2"/>
  <c r="G431" i="2"/>
  <c r="J430" i="2"/>
  <c r="G430" i="2"/>
  <c r="J429" i="2"/>
  <c r="G429" i="2"/>
  <c r="J428" i="2"/>
  <c r="G428" i="2"/>
  <c r="J427" i="2"/>
  <c r="G427" i="2"/>
  <c r="J426" i="2"/>
  <c r="G426" i="2"/>
  <c r="J425" i="2"/>
  <c r="G425" i="2"/>
  <c r="J424" i="2"/>
  <c r="G424" i="2"/>
  <c r="J423" i="2"/>
  <c r="G423" i="2"/>
  <c r="J422" i="2"/>
  <c r="G422" i="2"/>
  <c r="J421" i="2"/>
  <c r="G421" i="2"/>
  <c r="J420" i="2"/>
  <c r="G420" i="2"/>
  <c r="J419" i="2"/>
  <c r="G419" i="2"/>
  <c r="J418" i="2"/>
  <c r="G418" i="2"/>
  <c r="J417" i="2"/>
  <c r="G417" i="2"/>
  <c r="J416" i="2"/>
  <c r="G416" i="2"/>
  <c r="J415" i="2"/>
  <c r="G415" i="2"/>
  <c r="J414" i="2"/>
  <c r="G414" i="2"/>
  <c r="J413" i="2"/>
  <c r="G413" i="2"/>
  <c r="J412" i="2"/>
  <c r="G412" i="2"/>
  <c r="J411" i="2"/>
  <c r="G411" i="2"/>
  <c r="J410" i="2"/>
  <c r="G410" i="2"/>
  <c r="J409" i="2"/>
  <c r="G409" i="2"/>
  <c r="J408" i="2"/>
  <c r="G408" i="2"/>
  <c r="J407" i="2"/>
  <c r="G407" i="2"/>
  <c r="J406" i="2"/>
  <c r="G406" i="2"/>
  <c r="J405" i="2"/>
  <c r="G405" i="2"/>
  <c r="J404" i="2"/>
  <c r="G404" i="2"/>
  <c r="J403" i="2"/>
  <c r="G403" i="2"/>
  <c r="J402" i="2"/>
  <c r="G402" i="2"/>
  <c r="J401" i="2"/>
  <c r="G401" i="2"/>
  <c r="J400" i="2"/>
  <c r="G400" i="2"/>
  <c r="J399" i="2"/>
  <c r="G399" i="2"/>
  <c r="J398" i="2"/>
  <c r="G398" i="2"/>
  <c r="J397" i="2"/>
  <c r="G397" i="2"/>
  <c r="J396" i="2"/>
  <c r="G396" i="2"/>
  <c r="J395" i="2"/>
  <c r="G395" i="2"/>
  <c r="J394" i="2"/>
  <c r="G394" i="2"/>
  <c r="J393" i="2"/>
  <c r="G393" i="2"/>
  <c r="J392" i="2"/>
  <c r="G392" i="2"/>
  <c r="J391" i="2"/>
  <c r="G391" i="2"/>
  <c r="J390" i="2"/>
  <c r="G390" i="2"/>
  <c r="J389" i="2"/>
  <c r="G389" i="2"/>
  <c r="J388" i="2"/>
  <c r="G388" i="2"/>
  <c r="J387" i="2"/>
  <c r="G387" i="2"/>
  <c r="J386" i="2"/>
  <c r="G386" i="2"/>
  <c r="J385" i="2"/>
  <c r="G385" i="2"/>
  <c r="J384" i="2"/>
  <c r="G384" i="2"/>
  <c r="J383" i="2"/>
  <c r="G383" i="2"/>
  <c r="J382" i="2"/>
  <c r="G382" i="2"/>
  <c r="J381" i="2"/>
  <c r="G381" i="2"/>
  <c r="J380" i="2"/>
  <c r="G380" i="2"/>
  <c r="J379" i="2"/>
  <c r="G379" i="2"/>
  <c r="J378" i="2"/>
  <c r="G378" i="2"/>
  <c r="J377" i="2"/>
  <c r="G377" i="2"/>
  <c r="J376" i="2"/>
  <c r="G376" i="2"/>
  <c r="J375" i="2"/>
  <c r="G375" i="2"/>
  <c r="J374" i="2"/>
  <c r="G374" i="2"/>
  <c r="J373" i="2"/>
  <c r="G373" i="2"/>
  <c r="J372" i="2"/>
  <c r="G372" i="2"/>
  <c r="J371" i="2"/>
  <c r="G371" i="2"/>
  <c r="J370" i="2"/>
  <c r="G370" i="2"/>
  <c r="J369" i="2"/>
  <c r="G369" i="2"/>
  <c r="J368" i="2"/>
  <c r="G368" i="2"/>
  <c r="J367" i="2"/>
  <c r="G367" i="2"/>
  <c r="J366" i="2"/>
  <c r="G366" i="2"/>
  <c r="J365" i="2"/>
  <c r="G365" i="2"/>
  <c r="J364" i="2"/>
  <c r="G364" i="2"/>
  <c r="J363" i="2"/>
  <c r="G363" i="2"/>
  <c r="J362" i="2"/>
  <c r="G362" i="2"/>
  <c r="J361" i="2"/>
  <c r="G361" i="2"/>
  <c r="J360" i="2"/>
  <c r="G360" i="2"/>
  <c r="J359" i="2"/>
  <c r="G359" i="2"/>
  <c r="J358" i="2"/>
  <c r="G358" i="2"/>
  <c r="J357" i="2"/>
  <c r="G357" i="2"/>
  <c r="J356" i="2"/>
  <c r="G356" i="2"/>
  <c r="J355" i="2"/>
  <c r="G355" i="2"/>
  <c r="J354" i="2"/>
  <c r="G354" i="2"/>
  <c r="J353" i="2"/>
  <c r="G353" i="2"/>
  <c r="J352" i="2"/>
  <c r="G352" i="2"/>
  <c r="J351" i="2"/>
  <c r="G351" i="2"/>
  <c r="J350" i="2"/>
  <c r="G350" i="2"/>
  <c r="J349" i="2"/>
  <c r="G349" i="2"/>
  <c r="J348" i="2"/>
  <c r="G348" i="2"/>
  <c r="J347" i="2"/>
  <c r="G347" i="2"/>
  <c r="J346" i="2"/>
  <c r="G346" i="2"/>
  <c r="J345" i="2"/>
  <c r="G345" i="2"/>
  <c r="J344" i="2"/>
  <c r="G344" i="2"/>
  <c r="J343" i="2"/>
  <c r="G343" i="2"/>
  <c r="J342" i="2"/>
  <c r="G342" i="2"/>
  <c r="J341" i="2"/>
  <c r="G341" i="2"/>
  <c r="J340" i="2"/>
  <c r="G340" i="2"/>
  <c r="J339" i="2"/>
  <c r="G339" i="2"/>
  <c r="J338" i="2"/>
  <c r="G338" i="2"/>
  <c r="J337" i="2"/>
  <c r="G337" i="2"/>
  <c r="J336" i="2"/>
  <c r="G336" i="2"/>
  <c r="J335" i="2"/>
  <c r="G335" i="2"/>
  <c r="J334" i="2"/>
  <c r="G334" i="2"/>
  <c r="J333" i="2"/>
  <c r="G333" i="2"/>
  <c r="J332" i="2"/>
  <c r="G332" i="2"/>
  <c r="J331" i="2"/>
  <c r="G331" i="2"/>
  <c r="J330" i="2"/>
  <c r="G330" i="2"/>
  <c r="J329" i="2"/>
  <c r="G329" i="2"/>
  <c r="J328" i="2"/>
  <c r="G328" i="2"/>
  <c r="J327" i="2"/>
  <c r="G327" i="2"/>
  <c r="J326" i="2"/>
  <c r="G326" i="2"/>
  <c r="J325" i="2"/>
  <c r="G325" i="2"/>
  <c r="J324" i="2"/>
  <c r="G324" i="2"/>
  <c r="J323" i="2"/>
  <c r="G323" i="2"/>
  <c r="J322" i="2"/>
  <c r="G322" i="2"/>
  <c r="J321" i="2"/>
  <c r="G321" i="2"/>
  <c r="J320" i="2"/>
  <c r="G320" i="2"/>
  <c r="J319" i="2"/>
  <c r="G319" i="2"/>
  <c r="J318" i="2"/>
  <c r="G318" i="2"/>
  <c r="J317" i="2"/>
  <c r="G317" i="2"/>
  <c r="J316" i="2"/>
  <c r="G316" i="2"/>
  <c r="J315" i="2"/>
  <c r="G315" i="2"/>
  <c r="J314" i="2"/>
  <c r="G314" i="2"/>
  <c r="J313" i="2"/>
  <c r="G313" i="2"/>
  <c r="J312" i="2"/>
  <c r="G312" i="2"/>
  <c r="J311" i="2"/>
  <c r="G311" i="2"/>
  <c r="J310" i="2"/>
  <c r="G310" i="2"/>
  <c r="J309" i="2"/>
  <c r="G309" i="2"/>
  <c r="J308" i="2"/>
  <c r="G308" i="2"/>
  <c r="J307" i="2"/>
  <c r="G307" i="2"/>
  <c r="J306" i="2"/>
  <c r="G306" i="2"/>
  <c r="J305" i="2"/>
  <c r="G305" i="2"/>
  <c r="J304" i="2"/>
  <c r="G304" i="2"/>
  <c r="J303" i="2"/>
  <c r="G303" i="2"/>
  <c r="J302" i="2"/>
  <c r="G302" i="2"/>
  <c r="J301" i="2"/>
  <c r="G301" i="2"/>
  <c r="J300" i="2"/>
  <c r="G300" i="2"/>
  <c r="J299" i="2"/>
  <c r="G299" i="2"/>
  <c r="J298" i="2"/>
  <c r="G298" i="2"/>
  <c r="J297" i="2"/>
  <c r="G297" i="2"/>
  <c r="J296" i="2"/>
  <c r="G296" i="2"/>
  <c r="J295" i="2"/>
  <c r="G295" i="2"/>
  <c r="J294" i="2"/>
  <c r="G294" i="2"/>
  <c r="J293" i="2"/>
  <c r="G293" i="2"/>
  <c r="J292" i="2"/>
  <c r="G292" i="2"/>
  <c r="J291" i="2"/>
  <c r="G291" i="2"/>
  <c r="J290" i="2"/>
  <c r="G290" i="2"/>
  <c r="J289" i="2"/>
  <c r="G289" i="2"/>
  <c r="J288" i="2"/>
  <c r="G288" i="2"/>
  <c r="J287" i="2"/>
  <c r="G287" i="2"/>
  <c r="J286" i="2"/>
  <c r="G286" i="2"/>
  <c r="J285" i="2"/>
  <c r="G285" i="2"/>
  <c r="J284" i="2"/>
  <c r="G284" i="2"/>
  <c r="J283" i="2"/>
  <c r="G283" i="2"/>
  <c r="J282" i="2"/>
  <c r="G282" i="2"/>
  <c r="J281" i="2"/>
  <c r="G281" i="2"/>
  <c r="J280" i="2"/>
  <c r="G280" i="2"/>
  <c r="J279" i="2"/>
  <c r="G279" i="2"/>
  <c r="J278" i="2"/>
  <c r="G278" i="2"/>
  <c r="J277" i="2"/>
  <c r="G277" i="2"/>
  <c r="J276" i="2"/>
  <c r="G276" i="2"/>
  <c r="J275" i="2"/>
  <c r="G275" i="2"/>
  <c r="J274" i="2"/>
  <c r="G274" i="2"/>
  <c r="J273" i="2"/>
  <c r="G273" i="2"/>
  <c r="J272" i="2"/>
  <c r="G272" i="2"/>
  <c r="J271" i="2"/>
  <c r="G271" i="2"/>
  <c r="J270" i="2"/>
  <c r="G270" i="2"/>
  <c r="J269" i="2"/>
  <c r="G269" i="2"/>
  <c r="J268" i="2"/>
  <c r="G268" i="2"/>
  <c r="J267" i="2"/>
  <c r="G267" i="2"/>
  <c r="J266" i="2"/>
  <c r="G266" i="2"/>
  <c r="J265" i="2"/>
  <c r="G265" i="2"/>
  <c r="J264" i="2"/>
  <c r="G264" i="2"/>
  <c r="J263" i="2"/>
  <c r="G263" i="2"/>
  <c r="J262" i="2"/>
  <c r="G262" i="2"/>
  <c r="J261" i="2"/>
  <c r="G261" i="2"/>
  <c r="J260" i="2"/>
  <c r="G260" i="2"/>
  <c r="J259" i="2"/>
  <c r="G259" i="2"/>
  <c r="J258" i="2"/>
  <c r="G258" i="2"/>
  <c r="J257" i="2"/>
  <c r="G257" i="2"/>
  <c r="J256" i="2"/>
  <c r="G256" i="2"/>
  <c r="J255" i="2"/>
  <c r="G255" i="2"/>
  <c r="J254" i="2"/>
  <c r="G254" i="2"/>
  <c r="J253" i="2"/>
  <c r="G253" i="2"/>
  <c r="J252" i="2"/>
  <c r="G252" i="2"/>
  <c r="J251" i="2"/>
  <c r="G251" i="2"/>
  <c r="J250" i="2"/>
  <c r="G250" i="2"/>
  <c r="J249" i="2"/>
  <c r="G249" i="2"/>
  <c r="J248" i="2"/>
  <c r="G248" i="2"/>
  <c r="J247" i="2"/>
  <c r="G247" i="2"/>
  <c r="J246" i="2"/>
  <c r="G246" i="2"/>
  <c r="J245" i="2"/>
  <c r="G245" i="2"/>
  <c r="J244" i="2"/>
  <c r="G244" i="2"/>
  <c r="J243" i="2"/>
  <c r="G243" i="2"/>
  <c r="J242" i="2"/>
  <c r="G242" i="2"/>
  <c r="J241" i="2"/>
  <c r="G241" i="2"/>
  <c r="J240" i="2"/>
  <c r="G240" i="2"/>
  <c r="J239" i="2"/>
  <c r="G239" i="2"/>
  <c r="J238" i="2"/>
  <c r="G238" i="2"/>
  <c r="J237" i="2"/>
  <c r="G237" i="2"/>
  <c r="J236" i="2"/>
  <c r="G236" i="2"/>
  <c r="J235" i="2"/>
  <c r="G235" i="2"/>
  <c r="J234" i="2"/>
  <c r="G234" i="2"/>
  <c r="J233" i="2"/>
  <c r="G233" i="2"/>
  <c r="J232" i="2"/>
  <c r="G232" i="2"/>
  <c r="J231" i="2"/>
  <c r="G231" i="2"/>
  <c r="J230" i="2"/>
  <c r="G230" i="2"/>
  <c r="J229" i="2"/>
  <c r="G229" i="2"/>
  <c r="J228" i="2"/>
  <c r="G228" i="2"/>
  <c r="J227" i="2"/>
  <c r="G227" i="2"/>
  <c r="J226" i="2"/>
  <c r="G226" i="2"/>
  <c r="J225" i="2"/>
  <c r="G225" i="2"/>
  <c r="J224" i="2"/>
  <c r="G224" i="2"/>
  <c r="J223" i="2"/>
  <c r="G223" i="2"/>
  <c r="J222" i="2"/>
  <c r="G222" i="2"/>
  <c r="J221" i="2"/>
  <c r="G221" i="2"/>
  <c r="J220" i="2"/>
  <c r="G220" i="2"/>
  <c r="J219" i="2"/>
  <c r="G219" i="2"/>
  <c r="J218" i="2"/>
  <c r="G218" i="2"/>
  <c r="J217" i="2"/>
  <c r="G217" i="2"/>
  <c r="J216" i="2"/>
  <c r="G216" i="2"/>
  <c r="J215" i="2"/>
  <c r="G215" i="2"/>
  <c r="J214" i="2"/>
  <c r="G214" i="2"/>
  <c r="J213" i="2"/>
  <c r="G213" i="2"/>
  <c r="J212" i="2"/>
  <c r="G212" i="2"/>
  <c r="J211" i="2"/>
  <c r="G211" i="2"/>
  <c r="J210" i="2"/>
  <c r="G210" i="2"/>
  <c r="J209" i="2"/>
  <c r="G209" i="2"/>
  <c r="J208" i="2"/>
  <c r="G208" i="2"/>
  <c r="J207" i="2"/>
  <c r="G207" i="2"/>
  <c r="J206" i="2"/>
  <c r="G206" i="2"/>
  <c r="J205" i="2"/>
  <c r="G205" i="2"/>
  <c r="J204" i="2"/>
  <c r="G204" i="2"/>
  <c r="J203" i="2"/>
  <c r="G203" i="2"/>
  <c r="J202" i="2"/>
  <c r="G202" i="2"/>
  <c r="J201" i="2"/>
  <c r="G201" i="2"/>
  <c r="J200" i="2"/>
  <c r="G200" i="2"/>
  <c r="J199" i="2"/>
  <c r="G199" i="2"/>
  <c r="J198" i="2"/>
  <c r="G198" i="2"/>
  <c r="J197" i="2"/>
  <c r="G197" i="2"/>
  <c r="J196" i="2"/>
  <c r="G196" i="2"/>
  <c r="J195" i="2"/>
  <c r="G195" i="2"/>
  <c r="J194" i="2"/>
  <c r="G194" i="2"/>
  <c r="J193" i="2"/>
  <c r="G193" i="2"/>
  <c r="J192" i="2"/>
  <c r="G192" i="2"/>
  <c r="J191" i="2"/>
  <c r="G191" i="2"/>
  <c r="J190" i="2"/>
  <c r="G190" i="2"/>
  <c r="J189" i="2"/>
  <c r="G189" i="2"/>
  <c r="J188" i="2"/>
  <c r="G188" i="2"/>
  <c r="J187" i="2"/>
  <c r="G187" i="2"/>
  <c r="J186" i="2"/>
  <c r="G186" i="2"/>
  <c r="J185" i="2"/>
  <c r="G185" i="2"/>
  <c r="J184" i="2"/>
  <c r="G184" i="2"/>
  <c r="J183" i="2"/>
  <c r="G183" i="2"/>
  <c r="J182" i="2"/>
  <c r="G182" i="2"/>
  <c r="J181" i="2"/>
  <c r="G181" i="2"/>
  <c r="J180" i="2"/>
  <c r="G180" i="2"/>
  <c r="J179" i="2"/>
  <c r="G179" i="2"/>
  <c r="J178" i="2"/>
  <c r="G178" i="2"/>
  <c r="J177" i="2"/>
  <c r="G177" i="2"/>
  <c r="J176" i="2"/>
  <c r="G176" i="2"/>
  <c r="J175" i="2"/>
  <c r="G175" i="2"/>
  <c r="J174" i="2"/>
  <c r="G174" i="2"/>
  <c r="J173" i="2"/>
  <c r="G173" i="2"/>
  <c r="J172" i="2"/>
  <c r="G172" i="2"/>
  <c r="J171" i="2"/>
  <c r="G171" i="2"/>
  <c r="J170" i="2"/>
  <c r="G170" i="2"/>
  <c r="J169" i="2"/>
  <c r="G169" i="2"/>
  <c r="J168" i="2"/>
  <c r="G168" i="2"/>
  <c r="J167" i="2"/>
  <c r="G167" i="2"/>
  <c r="J166" i="2"/>
  <c r="G166" i="2"/>
  <c r="J165" i="2"/>
  <c r="G165" i="2"/>
  <c r="J164" i="2"/>
  <c r="G164" i="2"/>
  <c r="J163" i="2"/>
  <c r="G163" i="2"/>
  <c r="J162" i="2"/>
  <c r="G162" i="2"/>
  <c r="J161" i="2"/>
  <c r="G161" i="2"/>
  <c r="J160" i="2"/>
  <c r="G160" i="2"/>
  <c r="J159" i="2"/>
  <c r="G159" i="2"/>
  <c r="J158" i="2"/>
  <c r="G158" i="2"/>
  <c r="J157" i="2"/>
  <c r="G157" i="2"/>
  <c r="J156" i="2"/>
  <c r="G156" i="2"/>
  <c r="J155" i="2"/>
  <c r="G155" i="2"/>
  <c r="J154" i="2"/>
  <c r="G154" i="2"/>
  <c r="J153" i="2"/>
  <c r="G153" i="2"/>
  <c r="J152" i="2"/>
  <c r="G152" i="2"/>
  <c r="J151" i="2"/>
  <c r="G151" i="2"/>
  <c r="J150" i="2"/>
  <c r="G150" i="2"/>
  <c r="J149" i="2"/>
  <c r="G149" i="2"/>
  <c r="J148" i="2"/>
  <c r="G148" i="2"/>
  <c r="J147" i="2"/>
  <c r="G147" i="2"/>
  <c r="J146" i="2"/>
  <c r="G146" i="2"/>
  <c r="J145" i="2"/>
  <c r="G145" i="2"/>
  <c r="J144" i="2"/>
  <c r="G144" i="2"/>
  <c r="J143" i="2"/>
  <c r="G143" i="2"/>
  <c r="J142" i="2"/>
  <c r="G142" i="2"/>
  <c r="J141" i="2"/>
  <c r="G141" i="2"/>
  <c r="J140" i="2"/>
  <c r="G140" i="2"/>
  <c r="J139" i="2"/>
  <c r="G139" i="2"/>
  <c r="J138" i="2"/>
  <c r="G138" i="2"/>
  <c r="J137" i="2"/>
  <c r="G137" i="2"/>
  <c r="J136" i="2"/>
  <c r="G136" i="2"/>
  <c r="J135" i="2"/>
  <c r="G135" i="2"/>
  <c r="J134" i="2"/>
  <c r="G134" i="2"/>
  <c r="J133" i="2"/>
  <c r="G133" i="2"/>
  <c r="J132" i="2"/>
  <c r="G132" i="2"/>
  <c r="J131" i="2"/>
  <c r="G131" i="2"/>
  <c r="J130" i="2"/>
  <c r="G130" i="2"/>
  <c r="J129" i="2"/>
  <c r="G129" i="2"/>
  <c r="J128" i="2"/>
  <c r="G128" i="2"/>
  <c r="J127" i="2"/>
  <c r="G127" i="2"/>
  <c r="J126" i="2"/>
  <c r="G126" i="2"/>
  <c r="J125" i="2"/>
  <c r="G125" i="2"/>
  <c r="J124" i="2"/>
  <c r="G124" i="2"/>
  <c r="J123" i="2"/>
  <c r="G123" i="2"/>
  <c r="J122" i="2"/>
  <c r="G122" i="2"/>
  <c r="J121" i="2"/>
  <c r="G121" i="2"/>
  <c r="J120" i="2"/>
  <c r="G120" i="2"/>
  <c r="J119" i="2"/>
  <c r="G119" i="2"/>
  <c r="J118" i="2"/>
  <c r="G118" i="2"/>
  <c r="J117" i="2"/>
  <c r="G117" i="2"/>
  <c r="J116" i="2"/>
  <c r="G116" i="2"/>
  <c r="J115" i="2"/>
  <c r="G115" i="2"/>
  <c r="J114" i="2"/>
  <c r="G114" i="2"/>
  <c r="J113" i="2"/>
  <c r="G113" i="2"/>
  <c r="J112" i="2"/>
  <c r="G112" i="2"/>
  <c r="J111" i="2"/>
  <c r="G111" i="2"/>
  <c r="J110" i="2"/>
  <c r="G110" i="2"/>
  <c r="J109" i="2"/>
  <c r="G109" i="2"/>
  <c r="J108" i="2"/>
  <c r="G108" i="2"/>
  <c r="J107" i="2"/>
  <c r="G107" i="2"/>
  <c r="J106" i="2"/>
  <c r="G106" i="2"/>
  <c r="J105" i="2"/>
  <c r="G105" i="2"/>
  <c r="J104" i="2"/>
  <c r="G104" i="2"/>
  <c r="J103" i="2"/>
  <c r="G103" i="2"/>
  <c r="J102" i="2"/>
  <c r="G102" i="2"/>
  <c r="J101" i="2"/>
  <c r="G101" i="2"/>
  <c r="J100" i="2"/>
  <c r="G100" i="2"/>
  <c r="J99" i="2"/>
  <c r="G99" i="2"/>
  <c r="J98" i="2"/>
  <c r="G98" i="2"/>
  <c r="J97" i="2"/>
  <c r="G97" i="2"/>
  <c r="J96" i="2"/>
  <c r="G96" i="2"/>
  <c r="J95" i="2"/>
  <c r="G95" i="2"/>
  <c r="J94" i="2"/>
  <c r="G94" i="2"/>
  <c r="J93" i="2"/>
  <c r="G93" i="2"/>
  <c r="J92" i="2"/>
  <c r="G92" i="2"/>
  <c r="J91" i="2"/>
  <c r="G91" i="2"/>
  <c r="J90" i="2"/>
  <c r="G90" i="2"/>
  <c r="J89" i="2"/>
  <c r="G89" i="2"/>
  <c r="J88" i="2"/>
  <c r="G88" i="2"/>
  <c r="J87" i="2"/>
  <c r="G87" i="2"/>
  <c r="J86" i="2"/>
  <c r="G86" i="2"/>
  <c r="J85" i="2"/>
  <c r="G85" i="2"/>
  <c r="J84" i="2"/>
  <c r="G84" i="2"/>
  <c r="J83" i="2"/>
  <c r="G83" i="2"/>
  <c r="J82" i="2"/>
  <c r="G82" i="2"/>
  <c r="J81" i="2"/>
  <c r="G81" i="2"/>
  <c r="J80" i="2"/>
  <c r="G80" i="2"/>
  <c r="J79" i="2"/>
  <c r="G79" i="2"/>
  <c r="J78" i="2"/>
  <c r="G78" i="2"/>
  <c r="J77" i="2"/>
  <c r="G77" i="2"/>
  <c r="J76" i="2"/>
  <c r="G76" i="2"/>
  <c r="J75" i="2"/>
  <c r="G75" i="2"/>
  <c r="J74" i="2"/>
  <c r="G74" i="2"/>
  <c r="J73" i="2"/>
  <c r="G73" i="2"/>
  <c r="J72" i="2"/>
  <c r="G72" i="2"/>
  <c r="J71" i="2"/>
  <c r="G71" i="2"/>
  <c r="J70" i="2"/>
  <c r="G70" i="2"/>
  <c r="J69" i="2"/>
  <c r="G69" i="2"/>
  <c r="J68" i="2"/>
  <c r="G68" i="2"/>
  <c r="J67" i="2"/>
  <c r="G67" i="2"/>
  <c r="J66" i="2"/>
  <c r="G66" i="2"/>
  <c r="J65" i="2"/>
  <c r="G65" i="2"/>
  <c r="J64" i="2"/>
  <c r="G64" i="2"/>
  <c r="J63" i="2"/>
  <c r="G63" i="2"/>
  <c r="J62" i="2"/>
  <c r="G62" i="2"/>
  <c r="J61" i="2"/>
  <c r="G61" i="2"/>
  <c r="J60" i="2"/>
  <c r="G60" i="2"/>
  <c r="J59" i="2"/>
  <c r="G59" i="2"/>
  <c r="J58" i="2"/>
  <c r="G58" i="2"/>
  <c r="J57" i="2"/>
  <c r="G57" i="2"/>
  <c r="J56" i="2"/>
  <c r="G56" i="2"/>
  <c r="J55" i="2"/>
  <c r="G55" i="2"/>
  <c r="J54" i="2"/>
  <c r="G54" i="2"/>
  <c r="J53" i="2"/>
  <c r="G53" i="2"/>
  <c r="J52" i="2"/>
  <c r="G52" i="2"/>
  <c r="J51" i="2"/>
  <c r="G51" i="2"/>
  <c r="J50" i="2"/>
  <c r="G50" i="2"/>
  <c r="J49" i="2"/>
  <c r="G49" i="2"/>
  <c r="J48" i="2"/>
  <c r="G48" i="2"/>
  <c r="J47" i="2"/>
  <c r="G47" i="2"/>
  <c r="J46" i="2"/>
  <c r="G46" i="2"/>
  <c r="J45" i="2"/>
  <c r="G45" i="2"/>
  <c r="J44" i="2"/>
  <c r="G44" i="2"/>
  <c r="J43" i="2"/>
  <c r="G43" i="2"/>
  <c r="J42" i="2"/>
  <c r="G42" i="2"/>
  <c r="J41" i="2"/>
  <c r="G41" i="2"/>
  <c r="J40" i="2"/>
  <c r="G40" i="2"/>
  <c r="J39" i="2"/>
  <c r="G39" i="2"/>
  <c r="J38" i="2"/>
  <c r="G38" i="2"/>
  <c r="J37" i="2"/>
  <c r="G37" i="2"/>
  <c r="J36" i="2"/>
  <c r="G36" i="2"/>
  <c r="J35" i="2"/>
  <c r="G35" i="2"/>
  <c r="J34" i="2"/>
  <c r="G34" i="2"/>
  <c r="J33" i="2"/>
  <c r="G33" i="2"/>
  <c r="J32" i="2"/>
  <c r="G32" i="2"/>
  <c r="J31" i="2"/>
  <c r="G31" i="2"/>
  <c r="J30" i="2"/>
  <c r="G30" i="2"/>
  <c r="J29" i="2"/>
  <c r="G29" i="2"/>
  <c r="J28" i="2"/>
  <c r="G28" i="2"/>
  <c r="J27" i="2"/>
  <c r="G27" i="2"/>
  <c r="J26" i="2"/>
  <c r="G26" i="2"/>
  <c r="J25" i="2"/>
  <c r="G25" i="2"/>
  <c r="J24" i="2"/>
  <c r="G24" i="2"/>
  <c r="J23" i="2"/>
  <c r="G23" i="2"/>
  <c r="J22" i="2"/>
  <c r="G22" i="2"/>
  <c r="J21" i="2"/>
  <c r="G21" i="2"/>
  <c r="J20" i="2"/>
  <c r="G20" i="2"/>
  <c r="J19" i="2"/>
  <c r="G19" i="2"/>
  <c r="J18" i="2"/>
  <c r="G18" i="2"/>
  <c r="J17" i="2"/>
  <c r="G17" i="2"/>
  <c r="J16" i="2"/>
  <c r="G16" i="2"/>
  <c r="J15" i="2"/>
  <c r="G15" i="2"/>
  <c r="J14" i="2"/>
  <c r="G14" i="2"/>
  <c r="J13" i="2"/>
  <c r="G13" i="2"/>
  <c r="J12" i="2"/>
  <c r="G12" i="2"/>
  <c r="J11" i="2"/>
  <c r="G11" i="2"/>
  <c r="J10" i="2"/>
  <c r="G10" i="2"/>
  <c r="J9" i="2"/>
  <c r="G9" i="2"/>
  <c r="J8" i="2"/>
  <c r="G8" i="2"/>
  <c r="J7" i="2"/>
  <c r="G7" i="2"/>
  <c r="J6" i="2"/>
  <c r="G6" i="2"/>
  <c r="J5" i="2"/>
  <c r="G5" i="2"/>
  <c r="J4" i="2"/>
  <c r="G4" i="2"/>
  <c r="J3" i="2"/>
  <c r="G3" i="2"/>
  <c r="J2" i="2"/>
  <c r="G2" i="2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E718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</calcChain>
</file>

<file path=xl/sharedStrings.xml><?xml version="1.0" encoding="utf-8"?>
<sst xmlns="http://schemas.openxmlformats.org/spreadsheetml/2006/main" count="4474" uniqueCount="1527">
  <si>
    <t>Subconto</t>
  </si>
  <si>
    <t>Sold la începutul perioadei</t>
  </si>
  <si>
    <t>Debit</t>
  </si>
  <si>
    <t>Farmacia</t>
  </si>
  <si>
    <t>Кол-во</t>
  </si>
  <si>
    <t>Ac acetici sol.5%-100 ml</t>
  </si>
  <si>
    <t>Ac chirurgical  BE 560-1</t>
  </si>
  <si>
    <t>Ac chirurgical  BE 560-13,14,15,17,18,19,20,21</t>
  </si>
  <si>
    <t>Ac chirurgical  BE 560-2,4</t>
  </si>
  <si>
    <t>Ac chirurgical  BE 560-5,7</t>
  </si>
  <si>
    <t>Ac chirurgical  BER 561-22</t>
  </si>
  <si>
    <t>Ac chirurgical  BER 562-1</t>
  </si>
  <si>
    <t>Ac chirurgical  BER 562-11,12,14,16,17,18,19,20,21</t>
  </si>
  <si>
    <t>Ac chirurgical  BER 562-4</t>
  </si>
  <si>
    <t>Ac chirurgical  BER 562-5,8,9</t>
  </si>
  <si>
    <t>Ac chirurgical  BER 562-7</t>
  </si>
  <si>
    <t>Ac chirurgical  BR 510 - 0,00</t>
  </si>
  <si>
    <t>Ac chirurgical  BR 510 - 000</t>
  </si>
  <si>
    <t>Ac chirurgical  BR 510-1</t>
  </si>
  <si>
    <t>Ac chirurgical  BR 510-13,14,16</t>
  </si>
  <si>
    <t>Ac chirurgical  BR 510-4,5,6</t>
  </si>
  <si>
    <t>Ac chirurgical  BR 510-7,8,9</t>
  </si>
  <si>
    <t>Ac chirurgical  E 530 - 0  ,00</t>
  </si>
  <si>
    <t>Ac chirurgical  E 530 - 000</t>
  </si>
  <si>
    <t>Ac chirurgical  E 530 - 1 ,2</t>
  </si>
  <si>
    <t>Ac chirurgical  E 530-3,4</t>
  </si>
  <si>
    <t>Ac chirurgical  E 530-5,6,7,8</t>
  </si>
  <si>
    <t>Ac chirurgical  ET 528-0,1,2,3,4</t>
  </si>
  <si>
    <t>Ac chirurgical  ET 528-000</t>
  </si>
  <si>
    <t>Ac chirurgical  ET 528-5,6,7,8</t>
  </si>
  <si>
    <t>Ac chirurgical  G 503-16</t>
  </si>
  <si>
    <t>Ac chirurgical  GE 548-1,2,3</t>
  </si>
  <si>
    <t>Ac chirurgical  GE 548-5,6,7,11,13,14,15,16,17,18,19,20,21,22</t>
  </si>
  <si>
    <t>Ac chirurgical  GE 548-9</t>
  </si>
  <si>
    <t>Ac chirurgical  GT 516 - 2,3,4,5,6</t>
  </si>
  <si>
    <t>Ac chirurgical  GT 516 - 8-9</t>
  </si>
  <si>
    <t>Ac chirurgical  H 522- 0,1</t>
  </si>
  <si>
    <t>Ac chirurgical  H 522- 00</t>
  </si>
  <si>
    <t>Ac chirurgical  H 522- 2,3,4,5</t>
  </si>
  <si>
    <t>Ac chirurgical  HR 422- 0</t>
  </si>
  <si>
    <t>Ac chirurgical  HR 422- 00</t>
  </si>
  <si>
    <t>Ac chirurgical  HR 422-1,2,3,4,5</t>
  </si>
  <si>
    <t>Ac chirurgical GER 566-18,19,20,21,22</t>
  </si>
  <si>
    <t>Ac chirurgical GER 566-2,3,4</t>
  </si>
  <si>
    <t>Ac chirurgical GER 566-5,6,7,8,9,12,13,14,16</t>
  </si>
  <si>
    <t>Ac chirurgical GT 516-0,00,000</t>
  </si>
  <si>
    <t>Ac chirurgical GT 516-14,15,16</t>
  </si>
  <si>
    <t>Acarilbial sol.cutan.277mg/ml 200ml N1</t>
  </si>
  <si>
    <t>Aceclofenac 100mg comp.N30</t>
  </si>
  <si>
    <t>Acesol sol.perf400ml N1</t>
  </si>
  <si>
    <t>Aciclovir caps.200mg N30</t>
  </si>
  <si>
    <t>Acid acetilsalicilic comp. 0,5 g N10</t>
  </si>
  <si>
    <t>Acid aminocapronic sol. perf. 5% 100 ml N1</t>
  </si>
  <si>
    <t>Acid ascorbic 500mg/5ml N5</t>
  </si>
  <si>
    <t>Acid ascorbic draj.50mgN50</t>
  </si>
  <si>
    <t>Acid folic comp.1mg N60</t>
  </si>
  <si>
    <t>Acid folic comp.5mg N50</t>
  </si>
  <si>
    <t>Acid folic comp.5mg N60</t>
  </si>
  <si>
    <t>Acid nicotinic sol. inj. 1% 1 ml N10</t>
  </si>
  <si>
    <t>Actilyse liof.solv.sol.perf.50mg+50ml</t>
  </si>
  <si>
    <t>Actrapid sol.inj. 100 UI/10ml N1</t>
  </si>
  <si>
    <t>Ademetionina pulb./solv.pt sol.inj. 500mg N5</t>
  </si>
  <si>
    <t>Ademta comp.400mg N20</t>
  </si>
  <si>
    <t>Adrenalin sol. inj. 1mg/ml N10</t>
  </si>
  <si>
    <t>Albendazol - BP comp 400mg N10</t>
  </si>
  <si>
    <t>Alcool etilic 70% sol. alc. 70% 1000 ml N1 *</t>
  </si>
  <si>
    <t>Alcool etilic 96% 100ml N1</t>
  </si>
  <si>
    <t>Alcool etilic 96% sol. alc. 1000 ml N1</t>
  </si>
  <si>
    <t>Alcool etilic70% 100ml N1</t>
  </si>
  <si>
    <t>Aleze 90x90 cm</t>
  </si>
  <si>
    <t>Aleze de unica folosinta 60x90 cm N30</t>
  </si>
  <si>
    <t>Aleze de unica folosinta 90x90 cm N30</t>
  </si>
  <si>
    <t>Algin baby susp.orala 100mg/5ml N1</t>
  </si>
  <si>
    <t>Algodex comp.25mg N20</t>
  </si>
  <si>
    <t>Algodex sol. inj. 25mg 2 ml N10</t>
  </si>
  <si>
    <t>AlgoSpazmin sol.inj.500mg+2+0.2mg/ml 5ml N10</t>
  </si>
  <si>
    <t>Allohol comp.N50</t>
  </si>
  <si>
    <t>Alprazolam 0.5 mg comp N30</t>
  </si>
  <si>
    <t>Alprazolam LPH 0.25mgcomp.N30</t>
  </si>
  <si>
    <t>Alventa caps.75mg N10x3</t>
  </si>
  <si>
    <t>Ambrex 30mg/5ml 150ml N1</t>
  </si>
  <si>
    <t>Ambroxol comp. 30 mg N10x2</t>
  </si>
  <si>
    <t>Aminazin comprimate  25 mg N20</t>
  </si>
  <si>
    <t>Aminazin sol. inj. 2,5% 2 ml N10</t>
  </si>
  <si>
    <t>Aminoplasmal  10% sol. perf.500 ml N1</t>
  </si>
  <si>
    <t>Aminoplasmal Hepa 10% sol. perf.  500 ml N1</t>
  </si>
  <si>
    <t>Amiodarona 150 mg sol.inj.N10</t>
  </si>
  <si>
    <t>Amiodarona comp.200mg N30</t>
  </si>
  <si>
    <t>Amitriptilin clorhidrat-OZ sol. inj. 10 mg/ml 2 ml N10</t>
  </si>
  <si>
    <t>Amitriptilin comp. film. 25 mg N10x5</t>
  </si>
  <si>
    <t>Amlodipin comp 5mg.N28</t>
  </si>
  <si>
    <t>Amlodipin comp. 10 mg N10x3</t>
  </si>
  <si>
    <t>Amoniac sol.0,1g/ml 40 ml N1</t>
  </si>
  <si>
    <t>Amoxicilina pulb./sol.inj.1000mg N10</t>
  </si>
  <si>
    <t>Amoxiplus Atb pulb.sol.inj.perf.1000mg/200mg N25</t>
  </si>
  <si>
    <t>Ampicilina caps.500mgN10 *</t>
  </si>
  <si>
    <t>Ampicilina pulb./sol. inj. 1 g N1</t>
  </si>
  <si>
    <t>Ampicilina pulb./sol. inj. 1 g N10</t>
  </si>
  <si>
    <t>Analgin 50% 2ml sol.injN10</t>
  </si>
  <si>
    <t>Antigripal Kids(250mg/30mg/2mg)plic N10</t>
  </si>
  <si>
    <t>Anzaleptol comp.25mg N50</t>
  </si>
  <si>
    <t>Apa pentru injectii diluent 2 ml N10</t>
  </si>
  <si>
    <t>Arduan liof.+solv./sol. inj. 4 mg (N5 + 2 ml N5)x5</t>
  </si>
  <si>
    <t>Arixtra™ sol. inj. ser. preump. 2,5 mg/0,5 ml N5x2</t>
  </si>
  <si>
    <t>Arixtra™ sol. inj. ser. preump. 7,5 mg/0,5 ml N5x2</t>
  </si>
  <si>
    <t>Asist Plus gran/sol.orala 600mg/3grN30</t>
  </si>
  <si>
    <t>Asparkam40mg+45.2mg/10mlsol. inj.N10</t>
  </si>
  <si>
    <t>Atoris 20 mg N 30</t>
  </si>
  <si>
    <t>Atoris 20mg comp.N30</t>
  </si>
  <si>
    <t>Atropini sulfatis sol. inj. 0.1% 1ml</t>
  </si>
  <si>
    <t>Azaleptol compr.25mg N50</t>
  </si>
  <si>
    <t>Azinfexin(azitromicina) comp.250mgN6</t>
  </si>
  <si>
    <t>Azitromicina pulb/sol.perf.500mg N1*</t>
  </si>
  <si>
    <t>Azitromycin pt suspensie orala 200mg/5ml 20mlN1</t>
  </si>
  <si>
    <t>Azitromycina 500mg caps.N3</t>
  </si>
  <si>
    <t>B COMPLEX Plus sol.inj.2ml.N10 *</t>
  </si>
  <si>
    <t>Bactox susp.orala.125mg/5ml 60ml N1</t>
  </si>
  <si>
    <t>Bactox susp.orala.250mg/5ml 60ml N1</t>
  </si>
  <si>
    <t>Bactox susp.orala.250Mg/5ml 60ml N1</t>
  </si>
  <si>
    <t>Bahile medicale N1000</t>
  </si>
  <si>
    <t>Banda adeziva pt fixarea catetirilor i/v steril 7#8cm</t>
  </si>
  <si>
    <t xml:space="preserve">Bandaj elastic </t>
  </si>
  <si>
    <t>Bandaj elastic 10cm-3-4m</t>
  </si>
  <si>
    <t>Bandaj elastic 15cm x 5m</t>
  </si>
  <si>
    <t>Bandaj elastic 5 cm</t>
  </si>
  <si>
    <t>Bandaj elastic 5-7m-15cm</t>
  </si>
  <si>
    <t>Bandaj gipsat 10cm#270cm,(5-6min)</t>
  </si>
  <si>
    <t>Bandaj gipsat 10cm#270cm(2-3min)</t>
  </si>
  <si>
    <t>Bandaj gipsat 15cm#270cm (2-3min)</t>
  </si>
  <si>
    <t>Bandaj gipsat 20cm#270cm(2-3min)</t>
  </si>
  <si>
    <t>Bandaj gipsat 20cm#270cm(4-7min)</t>
  </si>
  <si>
    <t>Benzil benzoat ung.20%30g N1</t>
  </si>
  <si>
    <t>Benzil benzoat ung.20g N1</t>
  </si>
  <si>
    <t>Betacalm comp.150mg N30</t>
  </si>
  <si>
    <t>Betadine sup.vag 200 mg N14</t>
  </si>
  <si>
    <t>Betametason susp. inj.2.63mg/ml +6.43 mg/ml 1ml N5</t>
  </si>
  <si>
    <t>Betisoare igienice N100</t>
  </si>
  <si>
    <t>Bicard comp.2.5mg N 30</t>
  </si>
  <si>
    <t>Bisacodil comp. gastrorez. 5 mg N10x4</t>
  </si>
  <si>
    <t>Bisacodil supoz.N10</t>
  </si>
  <si>
    <t>Biseptol susp. orala 200 mg + 40 mg/5 ml 80 ml N1</t>
  </si>
  <si>
    <t>Biseptrim comp.480mg N20</t>
  </si>
  <si>
    <t>Bisoprolol 10mg comp.N30</t>
  </si>
  <si>
    <t>Bisoprolol comp. 5 mgN30 *</t>
  </si>
  <si>
    <t>Bisoprolol comp.2.5mg N30</t>
  </si>
  <si>
    <t>Bisoprolol-BP 2,5 comp.film.N10x3</t>
  </si>
  <si>
    <t>Bixtonim Xylo pic.naz.sol.0.5mg/ml10ml N1</t>
  </si>
  <si>
    <t>Bofen 100mg/5ml susp.orala N1</t>
  </si>
  <si>
    <t>Boofen susp.orala 100mg/5ml 100ml N1</t>
  </si>
  <si>
    <t>Bromhexin 4 Berlin-Chemie sol. orala 4 mg/5 ml 60 ml N1</t>
  </si>
  <si>
    <t>Bromhexin comp.4mg N50 *</t>
  </si>
  <si>
    <t>Bromhexin comp.8mg N50 *</t>
  </si>
  <si>
    <t>Bromocriptin-Richter comp. 2,5 mg N30</t>
  </si>
  <si>
    <t>Bronchoclean pulb/sol. orala 200mg 3g N10</t>
  </si>
  <si>
    <t>Bronchoclean pulb/sol. orala 600mg 3g N10</t>
  </si>
  <si>
    <t>Bupivacaina 0.5%/4ml sol.inj.N5</t>
  </si>
  <si>
    <t>Cap/ sold</t>
  </si>
  <si>
    <t>Capron chirurgical impletit USP 2/0,fara ac,L-20cm</t>
  </si>
  <si>
    <t>Captopril comp. 25 mg N10x4</t>
  </si>
  <si>
    <t>Captopril comp.50mg N30</t>
  </si>
  <si>
    <t>Captopril LPH comp. 50 mg N10x3</t>
  </si>
  <si>
    <t>Carbamazepin comp. 200 mg N10x5</t>
  </si>
  <si>
    <t>Carbamazepin comp. 400 mg N100</t>
  </si>
  <si>
    <t>Carbune activ comp.250mg N10 *</t>
  </si>
  <si>
    <t>Cartan sol.orala 100mg/ml N10</t>
  </si>
  <si>
    <t>Cateter Foley N14 N1</t>
  </si>
  <si>
    <t>Cateter Foley N16 N1</t>
  </si>
  <si>
    <t>Cateter Foley N18 N1</t>
  </si>
  <si>
    <t>Cateter Foley N20 N1</t>
  </si>
  <si>
    <t>Cateter Foley N22 N1</t>
  </si>
  <si>
    <t>Cateter Foley N24 N1</t>
  </si>
  <si>
    <t>Cateter i/v periferic  22G</t>
  </si>
  <si>
    <t>Cateter i/v periferic 20G</t>
  </si>
  <si>
    <t>Cateter i/v periferic 26G</t>
  </si>
  <si>
    <t>Cateter i/v periferic18G</t>
  </si>
  <si>
    <t>Cateter toracic 18 FR steril</t>
  </si>
  <si>
    <t>Cateter toracic Ultracath Novo 16Fg, drept, cu troacar  vîrf ascuțtit</t>
  </si>
  <si>
    <t>Cateter toracic Ultracath Novo 18Fg, drept, cu troacar  vîrf ascuțtit</t>
  </si>
  <si>
    <t>Cateter toracic Ultracath Novo 24Fg, drept, cu troacar  vîrf ascuțtit</t>
  </si>
  <si>
    <t>Cateter umbelical N4FR</t>
  </si>
  <si>
    <t>Cateter urinar Nelaton CH 12</t>
  </si>
  <si>
    <t>Cateter urinar Nelaton CH 14</t>
  </si>
  <si>
    <t>Cateter urinar Nelaton CH 20</t>
  </si>
  <si>
    <t>Cateter urinar Nelaton CH 22</t>
  </si>
  <si>
    <t>Cateter urologic Nr16 nelaton</t>
  </si>
  <si>
    <t>Cateter Vasofix G-16 i/v</t>
  </si>
  <si>
    <t>Catetere de aspiratie a cailor endotraheale superior. Fr10</t>
  </si>
  <si>
    <t>Catetere de aspiratie a cailor endotraheale superior. Fr12</t>
  </si>
  <si>
    <t>Catetere de aspiratie pt igiena cav.bucale N10</t>
  </si>
  <si>
    <t>Catetere de aspiratie pt igiena cav.bucale N12</t>
  </si>
  <si>
    <t>Catetere de aspiratie pt igiena cav.bucale N18</t>
  </si>
  <si>
    <t>Catetere de aspiratie pt igiena cav.bucale N20</t>
  </si>
  <si>
    <t>Catetere i/v perif.cu port si aripi de fixatie G26 N1</t>
  </si>
  <si>
    <t>Catetere i/v periferice 22 G N1#</t>
  </si>
  <si>
    <t>Catetere p/u aspiratie cu supapa CH14 N1</t>
  </si>
  <si>
    <t>Catetere p/u aspiratie cu supapa cu clapeta CH18 N1</t>
  </si>
  <si>
    <t>Cavinton Forte comp. 10 mg N15x2</t>
  </si>
  <si>
    <t>Cefalexin caps 250mgN20</t>
  </si>
  <si>
    <t>Cefalexin caps 500mgN10</t>
  </si>
  <si>
    <t>Cefazolinum pulb./sol. inj. 1 g (i/v, i/m) N10</t>
  </si>
  <si>
    <t>Cefepemium 1000 mg N10</t>
  </si>
  <si>
    <t>Cefepim clorhidrat pulb/sol.inj.1gr N 10</t>
  </si>
  <si>
    <t>Cefoperazone 1g  sol.inj N10</t>
  </si>
  <si>
    <t>Cefoperazone Sulbactam 1g pulb. sol.inj N10</t>
  </si>
  <si>
    <t>Cefotaxim pulb./sol. inj. 1 g N10</t>
  </si>
  <si>
    <t xml:space="preserve">Ceftazidim pulb./sol. inj.1.0g N10 </t>
  </si>
  <si>
    <t>Ceftriaxon pulb./sol. inj.1.0g N10 *</t>
  </si>
  <si>
    <t>Cefuroxime pulb./sol. inj. 1.5mg N10</t>
  </si>
  <si>
    <t>Cerebrolysin sol. inj. 10 ml N5 *</t>
  </si>
  <si>
    <t>Cerebrolysin sol. inj. 5 ml N5 *</t>
  </si>
  <si>
    <t>Cervicostat tip PHILADELPHIA</t>
  </si>
  <si>
    <t>Chlorhexidina 0.05% 100ml sol.cutanat N 1</t>
  </si>
  <si>
    <t>Cianocobalamin sol. inj. 0,05% 1 ml N10</t>
  </si>
  <si>
    <t>Ciment ortopedic cu antibiotic cu colorant</t>
  </si>
  <si>
    <t>Cinnarizin comp. 25 mg N10x5 *</t>
  </si>
  <si>
    <t>Ciprinol conc./sol. perf. 100 mg/10 ml N5</t>
  </si>
  <si>
    <t>Ciprofloxacini comp. 500 mg N10</t>
  </si>
  <si>
    <t>Ciston comp.N100</t>
  </si>
  <si>
    <t>Citocon 250 mg sol.inj 4ml N5 *</t>
  </si>
  <si>
    <t>Clarcid comp.500mg N14</t>
  </si>
  <si>
    <t>Clemastin-BP comp.1mg N20 *</t>
  </si>
  <si>
    <t>Clemastina sol.inj. 0.1% 2ml  N10 *</t>
  </si>
  <si>
    <t>Clonazepam comp. 0.5 mg N30</t>
  </si>
  <si>
    <t>Clonazepam comp. 2 mg N30</t>
  </si>
  <si>
    <t>Clorhidrat de tiamina sol. inj. 5% 1 ml N10</t>
  </si>
  <si>
    <t>Clorura de calciu 10% 5ml  N5</t>
  </si>
  <si>
    <t>Clorura de calciu sol. inj. 500mg/5ml  N5</t>
  </si>
  <si>
    <t>Clorura de potasiu 400mg/10ml N5</t>
  </si>
  <si>
    <t>Clorura de sodiu 400ml N1</t>
  </si>
  <si>
    <t>Clorura de sodiu 400ml N1(plastic)</t>
  </si>
  <si>
    <t>Clorura de sodiu sol. ext. 0,9% 500 ml N1*</t>
  </si>
  <si>
    <t>Clorura de sodiu sol. perf. 0,9% 100 ml N1</t>
  </si>
  <si>
    <t>Clorura de sodiu sol. perf. 0,9% 200 ml N1</t>
  </si>
  <si>
    <t>Clorura de sodiu sol.inj 0,9 10ml N5</t>
  </si>
  <si>
    <t>Clorura de sodiu sol.inj 0,9 5ml N5</t>
  </si>
  <si>
    <t>Clozapin comp.25mg N60</t>
  </si>
  <si>
    <t>Cocarboxylaza liofilizat sol.inj.50mg/2 ml N10</t>
  </si>
  <si>
    <t>Cocarnit liof+solv./sol.inj 2ml N3</t>
  </si>
  <si>
    <t>Coldrex Lemon pulb/susp.orala N10</t>
  </si>
  <si>
    <t>Combipryl-KV comprimate 10 mg.+5mg N30</t>
  </si>
  <si>
    <t>Componenta femurala primara cimentata /genunchi</t>
  </si>
  <si>
    <t>Componenta tibiala primara cimentata /genunchi</t>
  </si>
  <si>
    <t>Componente patelara /genunchi</t>
  </si>
  <si>
    <t>Container p/u evacuarea organului 200 ml</t>
  </si>
  <si>
    <t>Containere pt mase fecale</t>
  </si>
  <si>
    <t>Containere pt urina(nesterile)</t>
  </si>
  <si>
    <t>COOLBOX EMBALLI'ISO 96H S10,N 1</t>
  </si>
  <si>
    <t>Cordarone comp.200mg N30</t>
  </si>
  <si>
    <t>Cortexin liof/sol.inj 10mg N10</t>
  </si>
  <si>
    <t>Cupa/ sold</t>
  </si>
  <si>
    <t>Cuva reniforma masa plastica 25cm</t>
  </si>
  <si>
    <t>Depakine comp. 300 mg N100</t>
  </si>
  <si>
    <t>Deproteinized 40mg/ml 5ml N5</t>
  </si>
  <si>
    <t>Dexalgin sachet 25 mg gran/oral sol. N 10</t>
  </si>
  <si>
    <t>Dexametazon-BP sol.inj.4 mg/ml 2ml N10</t>
  </si>
  <si>
    <t>Dialin-M susp.orala 200mg/5ml60ml N1</t>
  </si>
  <si>
    <t>Dialipon sol.perf/3% 20ml N5</t>
  </si>
  <si>
    <t>Diazepam Desitin sol. rect. 10 mg/2,5 ml N5</t>
  </si>
  <si>
    <t>Diazepam Desitin sol. rect. 5 mg/2,5 ml N5</t>
  </si>
  <si>
    <t>Diazepeks® comp. 5 mg N10x2</t>
  </si>
  <si>
    <t>Diclofenac comp. 50mg N20</t>
  </si>
  <si>
    <t>Diclofenac sol.inj. 75 mg/3ml N10</t>
  </si>
  <si>
    <t>Dicynon sol.inj.250mg/2ml N50 *</t>
  </si>
  <si>
    <t>Digoxin comp. 0,25 mg N20x2</t>
  </si>
  <si>
    <t>Digoxin sol. inj. 0,25 mg/ml 1 ml N10</t>
  </si>
  <si>
    <t>Dimedrol sol. inj. 1% 1 ml N10</t>
  </si>
  <si>
    <t>Dimedrol sol.inj 10mg/1ml N10</t>
  </si>
  <si>
    <t>Dipiridamol comp. 25 mg N20x2</t>
  </si>
  <si>
    <t>Diprofol emulsie inj/perf.10mg/ml 20ml N5</t>
  </si>
  <si>
    <t>Diprofol emulsie inj/perf.10mg/ml 50ml N1</t>
  </si>
  <si>
    <t>Ditilin sol. inj. 2% 5 ml N10 *</t>
  </si>
  <si>
    <t>Dopamin-Darnita conc./sol. perf. 4% 5 ml N10</t>
  </si>
  <si>
    <t>Drotaverina sol.inj 20mg/2ml N50</t>
  </si>
  <si>
    <t>Duovit draj.N40</t>
  </si>
  <si>
    <t>Duphalac® sirop 667 mg/ml 200 ml N1</t>
  </si>
  <si>
    <t>Egiloc comp. 25 mg N60 *</t>
  </si>
  <si>
    <t>Egiloc comp. 50 mg N60 *</t>
  </si>
  <si>
    <t>Emplastru4.5x450cm N6</t>
  </si>
  <si>
    <t>Enalapril comp.10mg N30 *</t>
  </si>
  <si>
    <t>Enalapril comp.20mg N30 *</t>
  </si>
  <si>
    <t>Enalaprilat sol.inj 1.25mg/ml N10</t>
  </si>
  <si>
    <t>Enap-H comp.N20</t>
  </si>
  <si>
    <t>Enterofuryl caps. 100 mg N10x3</t>
  </si>
  <si>
    <t>Enterofuryl susp. orala 200 mg/5 ml 90 ml N1</t>
  </si>
  <si>
    <t>Enterofuryl® caps. 200 mg N16</t>
  </si>
  <si>
    <t>Enterol 250 pulb/orala 250mg N10</t>
  </si>
  <si>
    <t>Epitoin 50mg/ml 5ml N5</t>
  </si>
  <si>
    <t>Esketamine sol.inj.25mg/ml 2 ml N10</t>
  </si>
  <si>
    <t>Espumisan L emuls. orala 30 ml N1</t>
  </si>
  <si>
    <t>Espumizan caps.40mg N50</t>
  </si>
  <si>
    <t>Etamzilat sol. inj. 12,5% 2 ml N10</t>
  </si>
  <si>
    <t>Eufilin sol. inj. 2,4% 5 ml N10</t>
  </si>
  <si>
    <t>Eurolax 200 ml N1</t>
  </si>
  <si>
    <t>Famotidin pulb.20mg+5ml N10</t>
  </si>
  <si>
    <t>Famotidina  20mg comp.N20</t>
  </si>
  <si>
    <t>Famotidina  40mg comp.N20</t>
  </si>
  <si>
    <t>Famotidina  40mg comp.N30</t>
  </si>
  <si>
    <t>Famotidina comp. film. 40 mg N10x2</t>
  </si>
  <si>
    <t>Farmazolin® pic. naz., sol. 0,1% 10 ml N1</t>
  </si>
  <si>
    <t>Fasa de tifon  5 X 10cm N1 ster.</t>
  </si>
  <si>
    <t>Fasa de tifon  7 X 14cm N1 ster.</t>
  </si>
  <si>
    <t>Fasa de tifon n/s 5 X 10cm N1</t>
  </si>
  <si>
    <t>Fasa de tifon n/s 5 X 10cm N1 *</t>
  </si>
  <si>
    <t>Fasa de tifon n/s 7 X 14cm N1 *</t>
  </si>
  <si>
    <t>Fenobarbital 100mg comp N25</t>
  </si>
  <si>
    <t>Fenobarbital 100mg comp N50</t>
  </si>
  <si>
    <t>Fentanil sol.inj.0.05mg/ml2ml N100</t>
  </si>
  <si>
    <t>Ferrum Lek sol. inj. 100 mg/2 ml N5</t>
  </si>
  <si>
    <t>Ferrum Lek sol. inj. 100 mg/2 ml N5 *</t>
  </si>
  <si>
    <t>Fitomenadion 10 mg/ 1 ml sol. inj. N5 *</t>
  </si>
  <si>
    <t>Fitomenadion 10 mg/ml sol. inj. 10 mg/ml 1 ml N5</t>
  </si>
  <si>
    <t>Fixatoare p/u mini(Hand fix)ADULTI</t>
  </si>
  <si>
    <t>Fixatoare p/u mini(Hand fix)pediatrice</t>
  </si>
  <si>
    <t>Flixotide aeros.125mcg/60doze N1</t>
  </si>
  <si>
    <t>Flosteron sol.inj 7mg/1ml N5</t>
  </si>
  <si>
    <t>Floxadex pic. oft./auric., susp. 3,5 mg + 1 mg/ml 10 ml N1</t>
  </si>
  <si>
    <t>Fluconazol caps. 150 mg N10</t>
  </si>
  <si>
    <t>Fluconazol caps. 50 mg N20</t>
  </si>
  <si>
    <t>Fluconazol comp.100mg N10</t>
  </si>
  <si>
    <t>Fluconazol sol.perf 2mg/ml100mlN1 *</t>
  </si>
  <si>
    <t>Flumarin-Xylo 0.5mg/ml spray nazal N1</t>
  </si>
  <si>
    <t>Flumarin-Xylo 1,0 mg/ml spray nazal N1</t>
  </si>
  <si>
    <t>Fokusin caps. elib. modif. 0,4 mg N10x3</t>
  </si>
  <si>
    <t>Fraxiparine sol. inj. ser. preump. 5700 UI Axa/0,6 ml N10</t>
  </si>
  <si>
    <t>Fromilid susp.125mg/5ml 60ml N1</t>
  </si>
  <si>
    <t>Funit 100 mg caps.N 4</t>
  </si>
  <si>
    <t>Furagin comp. 50 mg N10x3 *</t>
  </si>
  <si>
    <t>Furosemid comp. 40 mg N10x5</t>
  </si>
  <si>
    <t>Furosemid fiole 0.1%2ml N10</t>
  </si>
  <si>
    <t>Gabagamma 300mg caps.N100</t>
  </si>
  <si>
    <t>Gabagamma 400mg caps.N100</t>
  </si>
  <si>
    <t>Garou hemostatic cu fixator</t>
  </si>
  <si>
    <t>Garou latex</t>
  </si>
  <si>
    <t xml:space="preserve">Gel USG </t>
  </si>
  <si>
    <t>Gentamicin 40 mg/2 ml N10</t>
  </si>
  <si>
    <t>Gentamicin sol. inj. 80 mg/2 ml N10</t>
  </si>
  <si>
    <t>Glicerina supoz.(adulti) N12 *</t>
  </si>
  <si>
    <t>Gluconat de calciu 10%10ml N10</t>
  </si>
  <si>
    <t>Gluconat de calciu sol. inj. 10% 10 ml N5x2</t>
  </si>
  <si>
    <t>Gluconat de calciu sol. inj. 10% 5 ml N5x2</t>
  </si>
  <si>
    <t>Glucoza  sol. perf. 10% 200 ml N1</t>
  </si>
  <si>
    <t>Glucoza  sol. perf. 10% 250 ml N1</t>
  </si>
  <si>
    <t>Glucoza  sol. perf. 10% 500 ml N1</t>
  </si>
  <si>
    <t>Glucoza  sol. perf. 10% 500 ml N1 *</t>
  </si>
  <si>
    <t>Glucoza  sol. perf. 5% 200 ml N1</t>
  </si>
  <si>
    <t>Glucoza  sol. perf. 5% 500 ml N1</t>
  </si>
  <si>
    <t>Glucoza sol. inj. 40% 10 ml N10</t>
  </si>
  <si>
    <t>Grandaxin comp. 50 mg N10x2</t>
  </si>
  <si>
    <t>Halat chirurgical steril ranforsant L</t>
  </si>
  <si>
    <t>Halat chirurgical steril ranforsant XXL</t>
  </si>
  <si>
    <t>Halat chirurgical steril ranforsat XL</t>
  </si>
  <si>
    <t>Haloperidol comp.5mg N50</t>
  </si>
  <si>
    <t>Halopril forte 5mg comp. N50</t>
  </si>
  <si>
    <t>Halopril sol.inj 5mg/ml 1ml N10</t>
  </si>
  <si>
    <t>Hartman sol.perf.500ml N1</t>
  </si>
  <si>
    <t>Helides caps20mgN28</t>
  </si>
  <si>
    <t>Heparin sol. inj. 5000 U/ml 5 ml N5</t>
  </si>
  <si>
    <t>Heparina sodica 5 IU /ML N10</t>
  </si>
  <si>
    <t>Hepasole NEO sol 8%500 ml N1</t>
  </si>
  <si>
    <t>Hepaurs caps.150mg N60</t>
  </si>
  <si>
    <t>Hepaurs caps.300mgN60</t>
  </si>
  <si>
    <t>Herpebloc crema 5% 15g N1</t>
  </si>
  <si>
    <t>Hidrocarbonat de sodiu sol. perf. 4% 200 ml N1</t>
  </si>
  <si>
    <t>Hidrocortizon pulb/sol.inj 100mg N1</t>
  </si>
  <si>
    <t>Hidroreg BP pulb. sol.orala 18.9gr N10</t>
  </si>
  <si>
    <t>Hirtie milimetrica 50-56mm#15m</t>
  </si>
  <si>
    <t>Hirtie milimetrica p/u ECG termosensibila 210mm x 140mm x 150 P</t>
  </si>
  <si>
    <t>Hirtie pt ECG,110mm#140mm#200p.tip pilata</t>
  </si>
  <si>
    <t>Hirtie pt ECG,210mm#140mm#150p.tip plilata</t>
  </si>
  <si>
    <t>Hirtie pt ECG,215mm#280mm#100p.tip pilata</t>
  </si>
  <si>
    <t>Hirtie pt ECG,63#30.tip rola</t>
  </si>
  <si>
    <t>Hirtie pt ECG,80#30 tip rola</t>
  </si>
  <si>
    <t>Hirtie termica ECG 12 canale rulou 210*30*19</t>
  </si>
  <si>
    <t>Humulin Regular 100UI/ml-10mlN1</t>
  </si>
  <si>
    <t>Hydrocortison 10 mg/g 20g ung.</t>
  </si>
  <si>
    <t>Ibuprofen 400mg N20</t>
  </si>
  <si>
    <t>Ibuprofen comp. film. 200 mg N50 *</t>
  </si>
  <si>
    <t>Ificipro(ciprofloxacina) sol. perf. 200 mg/100 ml N1</t>
  </si>
  <si>
    <t>Indapamid comp.2.5 mgN30</t>
  </si>
  <si>
    <t>Indapen 2.5mg comp.N30</t>
  </si>
  <si>
    <t>Infulgan sol.perf 10mg/100ml N1</t>
  </si>
  <si>
    <t>Infulgan sol.perf 10mg/20ml N1</t>
  </si>
  <si>
    <t>Ingamist sol.inj100mg/3mlN10</t>
  </si>
  <si>
    <t>Inoseda 250mg/5ml 120ml sirop N1</t>
  </si>
  <si>
    <t>Inoseda 500mg comp.N50</t>
  </si>
  <si>
    <t>Insert tibial primar mobil /genunchi</t>
  </si>
  <si>
    <t>Insert/ sold</t>
  </si>
  <si>
    <t>INTRAOSSEOUS NEEDLE+STABILIZER KIT EZ-IO 15MM 15GA</t>
  </si>
  <si>
    <t>INTRAOSSEOUS NEEDLE+STABILIZER KIT EZ-IO 45MM 15GA</t>
  </si>
  <si>
    <t>Intuban(atracurium)sol.inj10mg/5ml N5</t>
  </si>
  <si>
    <t>Isoket fiole 0.1% 10ml N10</t>
  </si>
  <si>
    <t>Kagocel comp.12mg N10</t>
  </si>
  <si>
    <t>Ketamin sol.inj 50mg/ml 10ml N5</t>
  </si>
  <si>
    <t>Ketonal Forte comp.100mg N20</t>
  </si>
  <si>
    <t>Ketonal sup. 100 mg N12</t>
  </si>
  <si>
    <t>Ketoprofen sol.inj.50mg/2ml N50</t>
  </si>
  <si>
    <t>Klamoks 625 mg comp. film. N15</t>
  </si>
  <si>
    <t>Klamoks BID Fort(400mg+57mg/5ml)pul.susp.orala.70ml N1</t>
  </si>
  <si>
    <t>Klamoks® BID 1000 mg comp. film. 875 mg + 125 mg N10 *</t>
  </si>
  <si>
    <t>Klopidigrel caps.75mg N20 *</t>
  </si>
  <si>
    <t>L-Cet comp.5mg N30</t>
  </si>
  <si>
    <t>Labetalol sol.inj.5mg/ml 10ml N1</t>
  </si>
  <si>
    <t>Lacidofil-WM caps. N20</t>
  </si>
  <si>
    <t>Lacto-G caps.N10</t>
  </si>
  <si>
    <t>Laferobion sup.150000UI N5x2</t>
  </si>
  <si>
    <t>Lame pt bisturiu 11N100</t>
  </si>
  <si>
    <t>Lame pt bisturiu 20 N100</t>
  </si>
  <si>
    <t>Lame pt bisturiu 21 N100</t>
  </si>
  <si>
    <t>Lame pt bisturiu 22 N100</t>
  </si>
  <si>
    <t>Lame pt bisturiu 23 N100</t>
  </si>
  <si>
    <t>Lame pt bisturiu 24 N100</t>
  </si>
  <si>
    <t>Lame sticla stefuite 26*76 ± 1 mm. grosimea 1 ± 0.2 mm N100</t>
  </si>
  <si>
    <t>Lansoprol 30 mg caps. gastrorez. cu micropelete 30 mg N28</t>
  </si>
  <si>
    <t>Lantorol caps.30mg N14</t>
  </si>
  <si>
    <t>Larfix comp. film. 8 mg N100</t>
  </si>
  <si>
    <t>Larnamin concentrat p/u sol.perf.500mg/ml N10</t>
  </si>
  <si>
    <t xml:space="preserve">Larnamin granule pt sol.orala3g/5g N30 </t>
  </si>
  <si>
    <t>Lercanid comp.10mg N30</t>
  </si>
  <si>
    <t>Lesfal sol.inj 50mg/5ml N5</t>
  </si>
  <si>
    <t>Levomecol 0.75g+4g/100g.40g N1</t>
  </si>
  <si>
    <t>Levox 500mg comp N10</t>
  </si>
  <si>
    <t>Lidocain sol. inj. 10% 2 ml N10</t>
  </si>
  <si>
    <t>Lidocain sol. inj. 2% 2 ml N10</t>
  </si>
  <si>
    <t>Lidocain spray 10% 50ml N1</t>
  </si>
  <si>
    <t>Linex caps.N16</t>
  </si>
  <si>
    <t>Linex Kids pulb/susp.orala 1.5g N20</t>
  </si>
  <si>
    <t>Lingurita Folkman</t>
  </si>
  <si>
    <t>Liposom Forte sol.inj.28mg/2ml N5</t>
  </si>
  <si>
    <t>Lisinopril comp 20mg N28</t>
  </si>
  <si>
    <t>Lisinopril comp.10mg N30</t>
  </si>
  <si>
    <t>Lisinopril comp.20mg N28</t>
  </si>
  <si>
    <t>Lisinopril-BP comp.20mg N30</t>
  </si>
  <si>
    <t>Lisobact comp.de supt 20mg+10mg N30</t>
  </si>
  <si>
    <t>Loperamid caps. 2 mg N10x2</t>
  </si>
  <si>
    <t>Lopril comp.10mg N20 *</t>
  </si>
  <si>
    <t>Lopril comp.20mg N20 *</t>
  </si>
  <si>
    <t>Loratadin caps.10mg N20</t>
  </si>
  <si>
    <t>Loratadin SIROP 125mg N1</t>
  </si>
  <si>
    <t>Lornoxicam pulb/sol inj 8mg N5</t>
  </si>
  <si>
    <t>Losartan comp. 50mg N30</t>
  </si>
  <si>
    <t>Lucetam comp.film.800mgn30</t>
  </si>
  <si>
    <t>Lugol sol.5% 100 ml</t>
  </si>
  <si>
    <t>Luminal sol inj. 1 ml N5</t>
  </si>
  <si>
    <t>Maalox® comprimate masticabile comp. masticab. 400 mg + 400 mg N10x4</t>
  </si>
  <si>
    <t>Maalox® suspensie orala susp. orala 4 g + 3,5 g/100 ml 250 ml N1</t>
  </si>
  <si>
    <t>Magne B6 sol.orala N10</t>
  </si>
  <si>
    <t>Magne-B6 comp. film. N60 *</t>
  </si>
  <si>
    <t>Manusi chirurgicale sterile cu pudra N 6.0</t>
  </si>
  <si>
    <t>Manusi chirurgicale sterile cu pudra N7</t>
  </si>
  <si>
    <t>Manusi chirurgicale sterile cu pudra N7.5</t>
  </si>
  <si>
    <t>Manusi chirurgicale sterile cu pudra N8</t>
  </si>
  <si>
    <t>Manusi chirurgicale sterile N 8,5</t>
  </si>
  <si>
    <t>Manusi latex cu pudra n/s L</t>
  </si>
  <si>
    <t>Manusi latex cu pudra n/s M</t>
  </si>
  <si>
    <t>Manusi latex cu pudra n/s S</t>
  </si>
  <si>
    <t>Manusi n/s fara pudra L( latex)N100</t>
  </si>
  <si>
    <t>Manusi n/s fara pudra M (latex) N 100</t>
  </si>
  <si>
    <t>Manusi n/s fara pudra S (latex) N 100</t>
  </si>
  <si>
    <t>Manusi n/s pt examinare din latex cu pudra( XL) N100</t>
  </si>
  <si>
    <t>Manusi n/s pt examinare din latex cu pudra(L) N100</t>
  </si>
  <si>
    <t>Manusi n/s pt examinare din latex cu pudra(M)pereche</t>
  </si>
  <si>
    <t>Manusi n/s pt examinare din latex cu pudra(S)pereche</t>
  </si>
  <si>
    <t>Manusi n/s,latex L,N 100</t>
  </si>
  <si>
    <t>Manusi n/s,latex M,N 100</t>
  </si>
  <si>
    <t>Matasa neagra impletita USP 0,L-75cm,ac1/2 curbura taper point 25mmN1</t>
  </si>
  <si>
    <t>Matasa neagra impletita USP0,L-75cm,ac1/2cerc corp rotund 35mmN1</t>
  </si>
  <si>
    <t>Matasa neagra impletita USP2/0,L-75cm,ac1/2cerc corp rotund 30mmN1</t>
  </si>
  <si>
    <t>Matase naturala USP 0-lung.acului(mm)-35</t>
  </si>
  <si>
    <t>Maxitrol 5ml pic.oft.N1</t>
  </si>
  <si>
    <t>Meldonat caps.500mg N60</t>
  </si>
  <si>
    <t>Meloxicam sol.inj 10mg/ml 1.5ml N10</t>
  </si>
  <si>
    <t>Meropenem pulb.sol.inj.perf.1000mg N1</t>
  </si>
  <si>
    <t>Metigast pic.orale,emulsie 40mg/ml 30ml</t>
  </si>
  <si>
    <t>Metilprednisolon comp.4mg N20</t>
  </si>
  <si>
    <t>Metilprednisolon pulb/solv.250mg 4mlN1+1</t>
  </si>
  <si>
    <t>Metilprednisolon pulb/solv.40mg/1ml N5</t>
  </si>
  <si>
    <t>Metilprednisolon sol.inj.500mg/7.8ml N1+1</t>
  </si>
  <si>
    <t>Metilprednisolon susp.inj.40mg/ml 1ml N5</t>
  </si>
  <si>
    <t>Metoclopramid comp.10mg N60</t>
  </si>
  <si>
    <t>Metoclopramid sol. inj. 0,5% 2 ml N10</t>
  </si>
  <si>
    <t>Metoprolol 100 comp. mg N30 *</t>
  </si>
  <si>
    <t>Metoprolol 50 comp. mg N30 *</t>
  </si>
  <si>
    <t>Metoprolol Tartrat Injection 1mg/ml 5ml N5</t>
  </si>
  <si>
    <t>Metoprolol(EMBETA)50mg.N30</t>
  </si>
  <si>
    <t>Metronidazol ovule. 500 mg N10</t>
  </si>
  <si>
    <t>Metrozol comp.500mg N20</t>
  </si>
  <si>
    <t>Mezaton sol. inj. 1% 1 ml N10</t>
  </si>
  <si>
    <t>Mezym forte comp. film. N80</t>
  </si>
  <si>
    <t>Microperfuzare sterile G26</t>
  </si>
  <si>
    <t>Microperfuzoare sterile(fluturase)cu ac G20</t>
  </si>
  <si>
    <t>Microperfuzoare sterile(fluturase)cu ac G24</t>
  </si>
  <si>
    <t>Microperfuzoare sterile(fluturase)cu ac G25</t>
  </si>
  <si>
    <t>Microperfuzoare sterile(fluturase)cu ac G27</t>
  </si>
  <si>
    <t>Microperfuzoare sterile(fluturoase)cu ac G20</t>
  </si>
  <si>
    <t>Microperfuzoare sterile(fluturoase)cu ac G22</t>
  </si>
  <si>
    <t>Microperfuzoare sterileN23</t>
  </si>
  <si>
    <t>Mildronat sol.inj. 10% 5ml N10 *</t>
  </si>
  <si>
    <t>Misofar comp.vag.25mg N8</t>
  </si>
  <si>
    <t>Monosan comp 20mg N30</t>
  </si>
  <si>
    <t>Monosan comp 40mg N30</t>
  </si>
  <si>
    <t>Morfina clorhidrat sol.inj 1ml N5*20</t>
  </si>
  <si>
    <t>Moxicum sol.perf 400mg/250ml N1</t>
  </si>
  <si>
    <t>Mydocalm comp.150mg N30</t>
  </si>
  <si>
    <t>Naftizin pic.naz 0.05%10mlN1</t>
  </si>
  <si>
    <t>Naftizin pic.naz 0.1%10mlN1</t>
  </si>
  <si>
    <t>Nakom comp.250mg 100</t>
  </si>
  <si>
    <t xml:space="preserve">Nalgesin forte 550 mg N10 </t>
  </si>
  <si>
    <t>Nalgesin forte 550mg comp.N10</t>
  </si>
  <si>
    <t>Neiromidin sol.inj 0.5%/1ml N10 *</t>
  </si>
  <si>
    <t>Neiromidin sol.inj 1.5%/1ml N10 *</t>
  </si>
  <si>
    <t>Neopregnan ovule 200mg N12</t>
  </si>
  <si>
    <t>Neurocytin sol.perf.100ml N1</t>
  </si>
  <si>
    <t>Neuroxon sol.inj 250mg/2ml N10</t>
  </si>
  <si>
    <t>Nifurox caps.200mg N30</t>
  </si>
  <si>
    <t>Nifuroxazid 200mg/5ml 100ml susp.orala N1</t>
  </si>
  <si>
    <t>Nimesulid -BP pulb/sol orala 100 mg 2.5g</t>
  </si>
  <si>
    <t>Nisit 100mg N20comp</t>
  </si>
  <si>
    <t>Nitroglicerin comp. 0,5 mg N10x4</t>
  </si>
  <si>
    <t>Nitroglycerin inj/sol.perf.5mg/2ml N10</t>
  </si>
  <si>
    <t>Nitromint aerosol dozat 0,4 mg/1 doza 10 g N1</t>
  </si>
  <si>
    <t>Nolpaza comp.40mgN30</t>
  </si>
  <si>
    <t>Novirin comp.500mg N40</t>
  </si>
  <si>
    <t>Novirin sirop 50mg/ml 120ml N1</t>
  </si>
  <si>
    <t>Novocain-Darnita sol. inj. 0,5% 5 ml N10</t>
  </si>
  <si>
    <t>Nuropentine caps.300mg N100 *</t>
  </si>
  <si>
    <t>Octra sol.inj.0.1mg/ml 1ml N5</t>
  </si>
  <si>
    <t>Ofloxacina sol.perf.2mg/10ml 100ml N1</t>
  </si>
  <si>
    <t>Omezole-20 caps. 20 mg N30 *</t>
  </si>
  <si>
    <t>Omnopon sol.inj 1ml N5*20</t>
  </si>
  <si>
    <t>Oseltamivir 75mg caps N10</t>
  </si>
  <si>
    <t>Oxitocina sol.inj.5UI/ml 1ml N10</t>
  </si>
  <si>
    <t>Pagamax caps.300 mg. N 56</t>
  </si>
  <si>
    <t>Pansament adeziv p/u cateter 10cmX12 cm N50</t>
  </si>
  <si>
    <t>Pansament adeziv steril 10cmx35cm N1</t>
  </si>
  <si>
    <t>Pansament adeziv steril 15cmx8cm N1</t>
  </si>
  <si>
    <t>Pansament impregnat cu unguent neutru si argint 10*10 N10</t>
  </si>
  <si>
    <t>Pansament impregnat cu unguent neutru si argint 5*5 N10</t>
  </si>
  <si>
    <t xml:space="preserve">Pansament steril 10cm*20cm </t>
  </si>
  <si>
    <t xml:space="preserve">Pansament steril 10cm*30cm </t>
  </si>
  <si>
    <t>Pantoprazol sol.inj 40 mg N10</t>
  </si>
  <si>
    <t>Panzimed caps.gastrorez.0.25(10000UA) N100</t>
  </si>
  <si>
    <t>Panzimed caps.gastrorez.3500 N20</t>
  </si>
  <si>
    <t>Panzimed caps.gastrorez.N20</t>
  </si>
  <si>
    <t>Papaverina clorhidrat sol. inj. 2% 2 ml N10</t>
  </si>
  <si>
    <t>Paracetamol 10MG/100ml.flac.N1</t>
  </si>
  <si>
    <t>Paracetamol comp. 0,5 g N10</t>
  </si>
  <si>
    <t>Paracetamol sirop 120mg/5ml 100ml N1</t>
  </si>
  <si>
    <t>Paracetamol sup. 125 mg N10</t>
  </si>
  <si>
    <t>Paracetamol sup. 125 mg N6 *</t>
  </si>
  <si>
    <t>Paracetamol sup. 250mg N 6</t>
  </si>
  <si>
    <t>Parlazin pic.10mg/ml 20ml N1</t>
  </si>
  <si>
    <t>Penestin 500pulb/sol.perf N1</t>
  </si>
  <si>
    <t>Pentoxifilina comp.200mg N20</t>
  </si>
  <si>
    <t>Pentoxifilina sol. inj. 2% 5 ml N10</t>
  </si>
  <si>
    <t>Peroxid de hidrogen sol. cutan. 3% 100 ml N1</t>
  </si>
  <si>
    <t>Peroxid de hidrogen sol. cutan. 3% 1000 ml N1</t>
  </si>
  <si>
    <t>Peroxid de hidrogen sol. cutan. 35%   (Perghidrol)</t>
  </si>
  <si>
    <t>Phenazepam comp.1mg N 50</t>
  </si>
  <si>
    <t>Phenihydin-Zdorovye comp. 10mg N50</t>
  </si>
  <si>
    <t>Picaturi cardiace -MC pi.orale sol.50ml N1</t>
  </si>
  <si>
    <t>Pilocarpin pic.oft 1%10mlN1</t>
  </si>
  <si>
    <t>Pipolphen 25mg/2ml sol.injN10</t>
  </si>
  <si>
    <t>Piracetam sol. inj. 20% 5 ml N5x2</t>
  </si>
  <si>
    <t>Piridoxin-BP 50mg/ml 1ml sol.inj.N5x2</t>
  </si>
  <si>
    <t>Plasture steril adeziv 10#15cm</t>
  </si>
  <si>
    <t>Plasture steril adeziv 10#20cm</t>
  </si>
  <si>
    <t>Platifilina sol. inj. 0,2% 1 ml N10</t>
  </si>
  <si>
    <t>Plosca urinara cu capac gradata</t>
  </si>
  <si>
    <t>Plosca urinara pentru barbati</t>
  </si>
  <si>
    <t>POLIPROPILEN sutura</t>
  </si>
  <si>
    <t>Polipropilen USP 2-0,ac 20-22mm</t>
  </si>
  <si>
    <t>Povidon iod 10% 100 ml</t>
  </si>
  <si>
    <t>Povidon iod 1000 ml N1</t>
  </si>
  <si>
    <t>Povidon-iodin sup.N14</t>
  </si>
  <si>
    <t>Pranogir comp. 500mg N20 *</t>
  </si>
  <si>
    <t>Pranogir sirop 50mg/120 ml N1</t>
  </si>
  <si>
    <t>Prednisolon 5 mg comp. 5 mg N40</t>
  </si>
  <si>
    <t>Prednisolon sol. inj. 30 mg/ml 1 ml N3</t>
  </si>
  <si>
    <t>Promedol sol.inj 20mg/ml 1ml N100</t>
  </si>
  <si>
    <t>Promedol sol.inj N10</t>
  </si>
  <si>
    <t>Propofol 10mg.20ml N5 emuls.inj/perf</t>
  </si>
  <si>
    <t>Protamina sulfat sol.inj 10ml N1</t>
  </si>
  <si>
    <t>Protaphane susp..inj.100UI/ml 10ml N1</t>
  </si>
  <si>
    <t>Prozerin sol.inj 0.5mg/ml 1ml N10 *</t>
  </si>
  <si>
    <t>Pulcet comp.40mg N28 *</t>
  </si>
  <si>
    <t>Pulmoxol sirop 15mg/5ml N 1</t>
  </si>
  <si>
    <t>Punga colostomica cu clipse</t>
  </si>
  <si>
    <t>PUNGA p/u gheata 600ml</t>
  </si>
  <si>
    <t>Punga urinara sterila pediatrica 100ml N1</t>
  </si>
  <si>
    <t>pungi p/u colectarea urinei 2L N1</t>
  </si>
  <si>
    <t>Pungi p/u gheata marimea 6N1</t>
  </si>
  <si>
    <t>Ramipril comp.10mg N30</t>
  </si>
  <si>
    <t>Ramipril comp.5mgN30</t>
  </si>
  <si>
    <t>Relaxil caps.125mg+25mg+25mg N20</t>
  </si>
  <si>
    <t>Renalgan sol.inj.500mg.+2mg/ml 5ml N5</t>
  </si>
  <si>
    <t>Reopoliglucin sol. perf. 10% 200 ml N1</t>
  </si>
  <si>
    <t>Reopoliglucin sol. perf. 10% 400 ml N1 *</t>
  </si>
  <si>
    <t>Respiridon comp 2mg N20</t>
  </si>
  <si>
    <t>Rhinostop comp.N20</t>
  </si>
  <si>
    <t>Riboxina sol. inj. 2% 5 ml N10</t>
  </si>
  <si>
    <t>Rinalgit comp.10mg N20</t>
  </si>
  <si>
    <t>Risperidon -BP 2mg comp.N20</t>
  </si>
  <si>
    <t>Ronem(meropenem) pulb/sol.inj 1gr N1</t>
  </si>
  <si>
    <t>Ronem(meropenem) pulb/sol.inj 500mg N1</t>
  </si>
  <si>
    <t>Salbutamol susp.inhal.100mcg/200doze N1*</t>
  </si>
  <si>
    <t>Sanocard  comp. 150mg N30</t>
  </si>
  <si>
    <t>Sanocard  comp. 75mg N30</t>
  </si>
  <si>
    <t>Scutece adulti XL N30</t>
  </si>
  <si>
    <t>Scutece Curelex pt adulti L N30</t>
  </si>
  <si>
    <t>Scutece Curelex pt adulti XL N30</t>
  </si>
  <si>
    <t>Sekrol Pediatric Syrup sirop 15 mg/5 ml 150 ml N1</t>
  </si>
  <si>
    <t>Seringa 10ml 3componente 21Gx1 1/2 0.7#40mm</t>
  </si>
  <si>
    <t>Seringa 20ml 2comp.21Gx1 1/2 0.8x40mm</t>
  </si>
  <si>
    <t>Seringa 20ml 2comp.21Gx1 1/2 0.9x40mm</t>
  </si>
  <si>
    <t>Seringa 20ml 3comp.21Gx1 1/2 0.8x40mm</t>
  </si>
  <si>
    <t>Seringa 2ml 3 comp.23Gx1 0.6x25mm(Dita)</t>
  </si>
  <si>
    <t>Seringa 5ml 3componente 22Gx1</t>
  </si>
  <si>
    <t>Seringa Jane 150ml N1</t>
  </si>
  <si>
    <t>Seringa Jane 60ml N1</t>
  </si>
  <si>
    <t xml:space="preserve">Seringa p/u insulina 1ml,100 UI </t>
  </si>
  <si>
    <t>Seringa sterila cu ac,pentru insulina</t>
  </si>
  <si>
    <t>Sermigolin(nicergolin4mg+5ml solv)N 1</t>
  </si>
  <si>
    <t>Servetel material netesut 40#40 cm n/s</t>
  </si>
  <si>
    <t>Servetel material netesut 40#40 cm steril</t>
  </si>
  <si>
    <t>Set clisma unica folosinta N1</t>
  </si>
  <si>
    <t>SET PT INFUZIE INTRAOSOASA(OMS)</t>
  </si>
  <si>
    <t>Sevorane lichid/vapori de inhalat 250ml N1</t>
  </si>
  <si>
    <t>Sevotroy 250lichid/vapori de inhalat 250ml N1</t>
  </si>
  <si>
    <t>Sibazon comp.5mg N20</t>
  </si>
  <si>
    <t>Sibazon(diazepam)0,5/2ml N10</t>
  </si>
  <si>
    <t>Silimarin forte caps.140 mg N30 *</t>
  </si>
  <si>
    <t>Sinupret draj.N 50</t>
  </si>
  <si>
    <t>Siprobel comp.500mg N14(ciproflox.)</t>
  </si>
  <si>
    <t>Sisteme p/u nutritie enterala gravitational vol.1200 ml</t>
  </si>
  <si>
    <t xml:space="preserve">Sisteme p/u transfuzii </t>
  </si>
  <si>
    <t>Sisteme pt infuzie cu ac metalic 150cmN1</t>
  </si>
  <si>
    <t>Sol.Ringher 200ml(sticla)N1</t>
  </si>
  <si>
    <t>Solutie Ringer sol. perf. 200 ml N1</t>
  </si>
  <si>
    <t>Solutie Ringer sol. perf. 400 ml N1</t>
  </si>
  <si>
    <t>Somnol comp 7.5mg N30</t>
  </si>
  <si>
    <t>Sonda gastro duodenale 16 Fr</t>
  </si>
  <si>
    <t>Sonda nazo-gastrica CH16</t>
  </si>
  <si>
    <t>Sonda nazo-gastrica CH18</t>
  </si>
  <si>
    <t>Sorbifer Durules comp. film. 320 mg + 60 mg N40</t>
  </si>
  <si>
    <t>Sorbilact sol.200ml N1 *</t>
  </si>
  <si>
    <t>Spasmoverin Forte comp. 80mg N30 *</t>
  </si>
  <si>
    <t>Spatule din lemn N100</t>
  </si>
  <si>
    <t>Spatule N100 sterile</t>
  </si>
  <si>
    <t>Spazmotek sol.inj.20mg/1ml N6 *</t>
  </si>
  <si>
    <t>Spirinolactona caps.50mg N30</t>
  </si>
  <si>
    <t>Spironolacton comp. 25 mg N30</t>
  </si>
  <si>
    <t>Spironolacton comp. 50 mg N30</t>
  </si>
  <si>
    <t>Sterofundin ISO sol. perf. 1000 ml N1</t>
  </si>
  <si>
    <t>Sterofundin ISO sol. perf. 500 ml N1</t>
  </si>
  <si>
    <t>Stilnox comp. film. diviz. 10 mg N14</t>
  </si>
  <si>
    <t>Strepsils intensiv miere si lamiie 8.75 mg N24</t>
  </si>
  <si>
    <t>Strofantin G sol. inj. 0,025% 1 ml N10</t>
  </si>
  <si>
    <t>Sulfacil pic.oft.300 mg/ml 10 ml N1 *</t>
  </si>
  <si>
    <t>Sulfat de atropina sol. inj. 0,1% 1 ml N10</t>
  </si>
  <si>
    <t>Sulfat de Bariu pt rentghenoscopie 100grN5</t>
  </si>
  <si>
    <t>Sulfat de magneziu sol. inj. 25% 5 ml N50 *</t>
  </si>
  <si>
    <t>Sutura chirurgicala Nylon 2/0 ac rotund 1/2#26mm 75cm N12</t>
  </si>
  <si>
    <t>Tachyben sol.inj.25mg 5ml N5 *</t>
  </si>
  <si>
    <t>Tachyben sol.inj.50mg 10ml N5 *</t>
  </si>
  <si>
    <t>Tagista comp.24mgN30</t>
  </si>
  <si>
    <t>Takudex comp.75mg/25mg N15</t>
  </si>
  <si>
    <t>Tamidra(tamsol)caps.0.4mg N30</t>
  </si>
  <si>
    <t>Taufon pic.oft 4% 10mlN1</t>
  </si>
  <si>
    <t>Termometru medical fara mercur</t>
  </si>
  <si>
    <t>Test Rapid Antigen SARS COV-2 N 25</t>
  </si>
  <si>
    <t>Teste rapide de diagnostic Ag COVID 19 N25</t>
  </si>
  <si>
    <t>Tetraciclina ung 3%12gN1</t>
  </si>
  <si>
    <t>Tetracycline 1% 5gr ung oftalmic</t>
  </si>
  <si>
    <t>Tifon med.n/s 90cmX1000m</t>
  </si>
  <si>
    <t>Tija / sold</t>
  </si>
  <si>
    <t>Tija centromedulara zavorita canulata de humerus</t>
  </si>
  <si>
    <t>Tija centromedulara zavorita canulata de humerus-suruburi de zavoare distala diam.3.5-4.5mm</t>
  </si>
  <si>
    <t>Timolol 0.5%5ml pic.oft.N1</t>
  </si>
  <si>
    <t>Timonil retard comp. elib. prel. 600 mg N10x5</t>
  </si>
  <si>
    <t xml:space="preserve">Timonil retard comp.150mg N50 </t>
  </si>
  <si>
    <t xml:space="preserve">Timonil retard comp.300mg N50 </t>
  </si>
  <si>
    <t>Tinctura de odoleana 25ml N1</t>
  </si>
  <si>
    <t>Tiopental-KMP liof./sol. inj. 1000 mg N10</t>
  </si>
  <si>
    <t>Tiopental-KMP liof./sol. inj. 500 mg N1</t>
  </si>
  <si>
    <t>Tiopental-KMP liof./sol. inj. 500 mg N10</t>
  </si>
  <si>
    <t>Tiosulfat de sodiu-Darnita sol. inj. 30% 5 ml N10</t>
  </si>
  <si>
    <t>Tivortin 4.2% sol.perf 100ml N1(arginina)</t>
  </si>
  <si>
    <t>Tiyokas 50g gel N1</t>
  </si>
  <si>
    <t>Tobrom pic. oft., sol. 3 mg/ml 5 ml N1</t>
  </si>
  <si>
    <t>Tomohexol sol.inj 350mg/ml100 ml N1</t>
  </si>
  <si>
    <t>Torasemid comp.10mg N30</t>
  </si>
  <si>
    <t>Torasemid comp.5mg N30</t>
  </si>
  <si>
    <t>Torsid comp.10mg N30</t>
  </si>
  <si>
    <t>Torsid sol.inj.5mg/ml 4ml N5</t>
  </si>
  <si>
    <t>Tramadol 5%2ml sol.inj N10</t>
  </si>
  <si>
    <t>Tramadol caps.50mg N20</t>
  </si>
  <si>
    <t>Tramadol sol. inj.100mg/2 ml N5</t>
  </si>
  <si>
    <t>Transec sol.inj.500mg/5ml N5</t>
  </si>
  <si>
    <t>Tricortin 1000sol.inj 12mg+1mg/2ml N5</t>
  </si>
  <si>
    <t>Trimetazidin comp.35mg N60</t>
  </si>
  <si>
    <t>Trisol sol.perf.400ml N1</t>
  </si>
  <si>
    <t>Trombex comp. film. 75 mg N30</t>
  </si>
  <si>
    <t>Tropicamida pic. oft., sol. 0,5% 10 ml N1</t>
  </si>
  <si>
    <t>Tropicamida pic. oft., sol. 1% 10 ml N1</t>
  </si>
  <si>
    <t>Tub conector la tubul de intubare Mount N1</t>
  </si>
  <si>
    <t>Tylol 120mg/5ml 100ml susp.orala N1</t>
  </si>
  <si>
    <t>Tylol Hot 20g N12 plic</t>
  </si>
  <si>
    <t>Unguent cu hidrocortisona ung. 1% 20 g N1</t>
  </si>
  <si>
    <t xml:space="preserve">Urfocin 3g gran/oral sol.N1 </t>
  </si>
  <si>
    <t>Urfocin 3g gran/oral.sol N1</t>
  </si>
  <si>
    <t>Utrogestan caps 100 mg N30</t>
  </si>
  <si>
    <t>Valeriana tinctura 25 ml N1</t>
  </si>
  <si>
    <t>Valfen caps. N30</t>
  </si>
  <si>
    <t>Valsartan comp. 160mg N30</t>
  </si>
  <si>
    <t>Vancomicin 1000mg.sol.inj N 1</t>
  </si>
  <si>
    <t>Vancomicin 1000mg.sol.inj N1</t>
  </si>
  <si>
    <t>Vancomicin HCI 500mg N 1</t>
  </si>
  <si>
    <t>Vancomicina HCI 500mg N10</t>
  </si>
  <si>
    <t>Vata hidrofila p/u uz medicinal 250 gr N1 *</t>
  </si>
  <si>
    <t>Venlaxor comp.75 mg N30</t>
  </si>
  <si>
    <t>Verapamil clorhidrat comp. film. 80 mg N10x5</t>
  </si>
  <si>
    <t>Verapamil comp. film. 80 mg N50 *</t>
  </si>
  <si>
    <t>Verapamil sol.inj.0,25.2ml 10</t>
  </si>
  <si>
    <t>Vermigal susp.orala 400mgN1</t>
  </si>
  <si>
    <t>Vicasol sol.inj.10mg/ml 1mlN10</t>
  </si>
  <si>
    <t>Viferon 150000 sup.N10</t>
  </si>
  <si>
    <t>Vincamin-BP sol.inj. 7.5mg/ml 2ml N5x2</t>
  </si>
  <si>
    <t>Vinpocetina  sol. inj.5mg/ml 2ml N10</t>
  </si>
  <si>
    <t>Vinpocetina  sol. inj.5mg/ml 5ml N10</t>
  </si>
  <si>
    <t>Viprosal B ung.50gr.N1</t>
  </si>
  <si>
    <t>Visipaque sol.inj.320mg.100ml N10</t>
  </si>
  <si>
    <t>Vita-melatonina comp.3mg N30</t>
  </si>
  <si>
    <t>Vitamina B6 sol.inj 50mg/1ml N10</t>
  </si>
  <si>
    <t>Vitamina D3 pic.orale 0.45mg/ml10mlN1</t>
  </si>
  <si>
    <t>Vitaxon sol.inj 2mlN5</t>
  </si>
  <si>
    <t>ViziDol pic. oft.,sol.0.5% 5ml</t>
  </si>
  <si>
    <t>Warfarex comp.3 mg N100 *</t>
  </si>
  <si>
    <t>Wishnevsky liniment 40 g N1</t>
  </si>
  <si>
    <t>Xefocam comp.8mg N10</t>
  </si>
  <si>
    <t>Zenofor 1000mg N60</t>
  </si>
  <si>
    <t>Zibor 2500 sol. inj. ser. preump. 2500 UI/0,2 ml 0,2 ml N10</t>
  </si>
  <si>
    <t>Zibor 3500 sol. inj. ser. preump. 3500 UI/0,2 ml 0,2 ml N10</t>
  </si>
  <si>
    <t>Zinc oxid ung.10% 25g</t>
  </si>
  <si>
    <t>Zinnat gran/susp.orala 125mg/5ml 100ml N1</t>
  </si>
  <si>
    <t>Total</t>
  </si>
  <si>
    <t>Preț/unitate</t>
  </si>
  <si>
    <t>calculat</t>
  </si>
  <si>
    <t>item_id</t>
  </si>
  <si>
    <t>source_value_row</t>
  </si>
  <si>
    <t>source_qty_row</t>
  </si>
  <si>
    <t>denumire</t>
  </si>
  <si>
    <t>total_valoare</t>
  </si>
  <si>
    <t>cantitate</t>
  </si>
  <si>
    <t>pret_unitar</t>
  </si>
  <si>
    <t>moneda</t>
  </si>
  <si>
    <t>sursa</t>
  </si>
  <si>
    <t>validare</t>
  </si>
  <si>
    <t>observatii</t>
  </si>
  <si>
    <t>MED-0001</t>
  </si>
  <si>
    <t>MDL</t>
  </si>
  <si>
    <t>Лист3</t>
  </si>
  <si>
    <t>MED-0002</t>
  </si>
  <si>
    <t>MED-0003</t>
  </si>
  <si>
    <t>MED-0004</t>
  </si>
  <si>
    <t>MED-0005</t>
  </si>
  <si>
    <t>MED-0006</t>
  </si>
  <si>
    <t>MED-0007</t>
  </si>
  <si>
    <t>MED-0008</t>
  </si>
  <si>
    <t>MED-0009</t>
  </si>
  <si>
    <t>MED-0010</t>
  </si>
  <si>
    <t>MED-0011</t>
  </si>
  <si>
    <t>MED-0012</t>
  </si>
  <si>
    <t>MED-0013</t>
  </si>
  <si>
    <t>MED-0014</t>
  </si>
  <si>
    <t>MED-0015</t>
  </si>
  <si>
    <t>MED-0016</t>
  </si>
  <si>
    <t>MED-0017</t>
  </si>
  <si>
    <t>MED-0018</t>
  </si>
  <si>
    <t>MED-0019</t>
  </si>
  <si>
    <t>MED-0020</t>
  </si>
  <si>
    <t>MED-0021</t>
  </si>
  <si>
    <t>MED-0022</t>
  </si>
  <si>
    <t>MED-0023</t>
  </si>
  <si>
    <t>MED-0024</t>
  </si>
  <si>
    <t>MED-0025</t>
  </si>
  <si>
    <t>MED-0026</t>
  </si>
  <si>
    <t>MED-0027</t>
  </si>
  <si>
    <t>MED-0028</t>
  </si>
  <si>
    <t>MED-0029</t>
  </si>
  <si>
    <t>MED-0030</t>
  </si>
  <si>
    <t>MED-0031</t>
  </si>
  <si>
    <t>MED-0032</t>
  </si>
  <si>
    <t>MED-0033</t>
  </si>
  <si>
    <t>MED-0034</t>
  </si>
  <si>
    <t>MED-0035</t>
  </si>
  <si>
    <t>MED-0036</t>
  </si>
  <si>
    <t>MED-0037</t>
  </si>
  <si>
    <t>MED-0038</t>
  </si>
  <si>
    <t>MED-0039</t>
  </si>
  <si>
    <t>MED-0040</t>
  </si>
  <si>
    <t>MED-0041</t>
  </si>
  <si>
    <t>MED-0042</t>
  </si>
  <si>
    <t>MED-0043</t>
  </si>
  <si>
    <t>MED-0044</t>
  </si>
  <si>
    <t>MED-0045</t>
  </si>
  <si>
    <t>MED-0046</t>
  </si>
  <si>
    <t>MED-0047</t>
  </si>
  <si>
    <t>MED-0048</t>
  </si>
  <si>
    <t>MED-0049</t>
  </si>
  <si>
    <t>MED-0050</t>
  </si>
  <si>
    <t>MED-0051</t>
  </si>
  <si>
    <t>MED-0052</t>
  </si>
  <si>
    <t>MED-0053</t>
  </si>
  <si>
    <t>MED-0054</t>
  </si>
  <si>
    <t>MED-0055</t>
  </si>
  <si>
    <t>MED-0056</t>
  </si>
  <si>
    <t>MED-0057</t>
  </si>
  <si>
    <t>MED-0058</t>
  </si>
  <si>
    <t>MED-0059</t>
  </si>
  <si>
    <t>MED-0060</t>
  </si>
  <si>
    <t>MED-0061</t>
  </si>
  <si>
    <t>MED-0062</t>
  </si>
  <si>
    <t>MED-0063</t>
  </si>
  <si>
    <t>MED-0064</t>
  </si>
  <si>
    <t>MED-0065</t>
  </si>
  <si>
    <t>MED-0066</t>
  </si>
  <si>
    <t>MED-0067</t>
  </si>
  <si>
    <t>MED-0068</t>
  </si>
  <si>
    <t>MED-0069</t>
  </si>
  <si>
    <t>MED-0070</t>
  </si>
  <si>
    <t>MED-0071</t>
  </si>
  <si>
    <t>MED-0072</t>
  </si>
  <si>
    <t>MED-0073</t>
  </si>
  <si>
    <t>MED-0074</t>
  </si>
  <si>
    <t>MED-0075</t>
  </si>
  <si>
    <t>MED-0076</t>
  </si>
  <si>
    <t>MED-0077</t>
  </si>
  <si>
    <t>MED-0078</t>
  </si>
  <si>
    <t>MED-0079</t>
  </si>
  <si>
    <t>MED-0080</t>
  </si>
  <si>
    <t>MED-0081</t>
  </si>
  <si>
    <t>MED-0082</t>
  </si>
  <si>
    <t>MED-0083</t>
  </si>
  <si>
    <t>MED-0084</t>
  </si>
  <si>
    <t>MED-0085</t>
  </si>
  <si>
    <t>MED-0086</t>
  </si>
  <si>
    <t>MED-0087</t>
  </si>
  <si>
    <t>MED-0088</t>
  </si>
  <si>
    <t>MED-0089</t>
  </si>
  <si>
    <t>MED-0090</t>
  </si>
  <si>
    <t>MED-0091</t>
  </si>
  <si>
    <t>MED-0092</t>
  </si>
  <si>
    <t>MED-0093</t>
  </si>
  <si>
    <t>MED-0094</t>
  </si>
  <si>
    <t>MED-0095</t>
  </si>
  <si>
    <t>MED-0096</t>
  </si>
  <si>
    <t>MED-0097</t>
  </si>
  <si>
    <t>MED-0098</t>
  </si>
  <si>
    <t>MED-0099</t>
  </si>
  <si>
    <t>MED-0100</t>
  </si>
  <si>
    <t>MED-0101</t>
  </si>
  <si>
    <t>MED-0102</t>
  </si>
  <si>
    <t>MED-0103</t>
  </si>
  <si>
    <t>MED-0104</t>
  </si>
  <si>
    <t>MED-0105</t>
  </si>
  <si>
    <t>MED-0106</t>
  </si>
  <si>
    <t>MED-0107</t>
  </si>
  <si>
    <t>MED-0108</t>
  </si>
  <si>
    <t>MED-0109</t>
  </si>
  <si>
    <t>MED-0110</t>
  </si>
  <si>
    <t>MED-0111</t>
  </si>
  <si>
    <t>MED-0112</t>
  </si>
  <si>
    <t>MED-0113</t>
  </si>
  <si>
    <t>MED-0114</t>
  </si>
  <si>
    <t>MED-0115</t>
  </si>
  <si>
    <t>MED-0116</t>
  </si>
  <si>
    <t>MED-0117</t>
  </si>
  <si>
    <t>Bandaj elastic</t>
  </si>
  <si>
    <t>MED-0118</t>
  </si>
  <si>
    <t>MED-0119</t>
  </si>
  <si>
    <t>MED-0120</t>
  </si>
  <si>
    <t>MED-0121</t>
  </si>
  <si>
    <t>MED-0122</t>
  </si>
  <si>
    <t>MED-0123</t>
  </si>
  <si>
    <t>MED-0124</t>
  </si>
  <si>
    <t>MED-0125</t>
  </si>
  <si>
    <t>MED-0126</t>
  </si>
  <si>
    <t>MED-0127</t>
  </si>
  <si>
    <t>MED-0128</t>
  </si>
  <si>
    <t>MED-0129</t>
  </si>
  <si>
    <t>MED-0130</t>
  </si>
  <si>
    <t>MED-0131</t>
  </si>
  <si>
    <t>MED-0132</t>
  </si>
  <si>
    <t>MED-0133</t>
  </si>
  <si>
    <t>MED-0134</t>
  </si>
  <si>
    <t>MED-0135</t>
  </si>
  <si>
    <t>MED-0136</t>
  </si>
  <si>
    <t>MED-0137</t>
  </si>
  <si>
    <t>MED-0138</t>
  </si>
  <si>
    <t>MED-0139</t>
  </si>
  <si>
    <t>MED-0140</t>
  </si>
  <si>
    <t>MED-0141</t>
  </si>
  <si>
    <t>MED-0142</t>
  </si>
  <si>
    <t>MED-0143</t>
  </si>
  <si>
    <t>MED-0144</t>
  </si>
  <si>
    <t>MED-0145</t>
  </si>
  <si>
    <t>MED-0146</t>
  </si>
  <si>
    <t>MED-0147</t>
  </si>
  <si>
    <t>MED-0148</t>
  </si>
  <si>
    <t>MED-0149</t>
  </si>
  <si>
    <t>MED-0150</t>
  </si>
  <si>
    <t>MED-0151</t>
  </si>
  <si>
    <t>MED-0152</t>
  </si>
  <si>
    <t>MED-0153</t>
  </si>
  <si>
    <t>MED-0154</t>
  </si>
  <si>
    <t>MED-0155</t>
  </si>
  <si>
    <t>MED-0156</t>
  </si>
  <si>
    <t>MED-0157</t>
  </si>
  <si>
    <t>MED-0158</t>
  </si>
  <si>
    <t>MED-0159</t>
  </si>
  <si>
    <t>MED-0160</t>
  </si>
  <si>
    <t>MED-0161</t>
  </si>
  <si>
    <t>MED-0162</t>
  </si>
  <si>
    <t>MED-0163</t>
  </si>
  <si>
    <t>MED-0164</t>
  </si>
  <si>
    <t>MED-0165</t>
  </si>
  <si>
    <t>MED-0166</t>
  </si>
  <si>
    <t>MED-0167</t>
  </si>
  <si>
    <t>MED-0168</t>
  </si>
  <si>
    <t>MED-0169</t>
  </si>
  <si>
    <t>MED-0170</t>
  </si>
  <si>
    <t>MED-0171</t>
  </si>
  <si>
    <t>MED-0172</t>
  </si>
  <si>
    <t>MED-0173</t>
  </si>
  <si>
    <t>MED-0174</t>
  </si>
  <si>
    <t>MED-0175</t>
  </si>
  <si>
    <t>MED-0176</t>
  </si>
  <si>
    <t>MED-0177</t>
  </si>
  <si>
    <t>MED-0178</t>
  </si>
  <si>
    <t>MED-0179</t>
  </si>
  <si>
    <t>MED-0180</t>
  </si>
  <si>
    <t>MED-0181</t>
  </si>
  <si>
    <t>MED-0182</t>
  </si>
  <si>
    <t>MED-0183</t>
  </si>
  <si>
    <t>MED-0184</t>
  </si>
  <si>
    <t>MED-0185</t>
  </si>
  <si>
    <t>MED-0186</t>
  </si>
  <si>
    <t>MED-0187</t>
  </si>
  <si>
    <t>MED-0188</t>
  </si>
  <si>
    <t>MED-0189</t>
  </si>
  <si>
    <t>MED-0190</t>
  </si>
  <si>
    <t>MED-0191</t>
  </si>
  <si>
    <t>MED-0192</t>
  </si>
  <si>
    <t>MED-0193</t>
  </si>
  <si>
    <t>MED-0194</t>
  </si>
  <si>
    <t>MED-0195</t>
  </si>
  <si>
    <t>MED-0196</t>
  </si>
  <si>
    <t>MED-0197</t>
  </si>
  <si>
    <t>MED-0198</t>
  </si>
  <si>
    <t>MED-0199</t>
  </si>
  <si>
    <t>MED-0200</t>
  </si>
  <si>
    <t>MED-0201</t>
  </si>
  <si>
    <t>Ceftazidim pulb./sol. inj.1.0g N10</t>
  </si>
  <si>
    <t>MED-0202</t>
  </si>
  <si>
    <t>MED-0203</t>
  </si>
  <si>
    <t>MED-0204</t>
  </si>
  <si>
    <t>MED-0205</t>
  </si>
  <si>
    <t>MED-0206</t>
  </si>
  <si>
    <t>MED-0207</t>
  </si>
  <si>
    <t>MED-0208</t>
  </si>
  <si>
    <t>MED-0209</t>
  </si>
  <si>
    <t>MED-0210</t>
  </si>
  <si>
    <t>MED-0211</t>
  </si>
  <si>
    <t>MED-0212</t>
  </si>
  <si>
    <t>MED-0213</t>
  </si>
  <si>
    <t>MED-0214</t>
  </si>
  <si>
    <t>MED-0215</t>
  </si>
  <si>
    <t>MED-0216</t>
  </si>
  <si>
    <t>MED-0217</t>
  </si>
  <si>
    <t>MED-0218</t>
  </si>
  <si>
    <t>MED-0219</t>
  </si>
  <si>
    <t>MED-0220</t>
  </si>
  <si>
    <t>MED-0221</t>
  </si>
  <si>
    <t>MED-0222</t>
  </si>
  <si>
    <t>MED-0223</t>
  </si>
  <si>
    <t>MED-0224</t>
  </si>
  <si>
    <t>MED-0225</t>
  </si>
  <si>
    <t>MED-0226</t>
  </si>
  <si>
    <t>MED-0227</t>
  </si>
  <si>
    <t>MED-0228</t>
  </si>
  <si>
    <t>MED-0229</t>
  </si>
  <si>
    <t>MED-0230</t>
  </si>
  <si>
    <t>MED-0231</t>
  </si>
  <si>
    <t>MED-0232</t>
  </si>
  <si>
    <t>MED-0233</t>
  </si>
  <si>
    <t>MED-0234</t>
  </si>
  <si>
    <t>MED-0235</t>
  </si>
  <si>
    <t>MED-0236</t>
  </si>
  <si>
    <t>MED-0237</t>
  </si>
  <si>
    <t>MED-0238</t>
  </si>
  <si>
    <t>MED-0239</t>
  </si>
  <si>
    <t>MED-0240</t>
  </si>
  <si>
    <t>MED-0241</t>
  </si>
  <si>
    <t>MED-0242</t>
  </si>
  <si>
    <t>MED-0243</t>
  </si>
  <si>
    <t>MED-0244</t>
  </si>
  <si>
    <t>MED-0245</t>
  </si>
  <si>
    <t>MED-0246</t>
  </si>
  <si>
    <t>MED-0247</t>
  </si>
  <si>
    <t>MED-0248</t>
  </si>
  <si>
    <t>MED-0249</t>
  </si>
  <si>
    <t>MED-0250</t>
  </si>
  <si>
    <t>MED-0251</t>
  </si>
  <si>
    <t>MED-0252</t>
  </si>
  <si>
    <t>MED-0253</t>
  </si>
  <si>
    <t>MED-0254</t>
  </si>
  <si>
    <t>MED-0255</t>
  </si>
  <si>
    <t>MED-0256</t>
  </si>
  <si>
    <t>MED-0257</t>
  </si>
  <si>
    <t>MED-0258</t>
  </si>
  <si>
    <t>MED-0259</t>
  </si>
  <si>
    <t>MED-0260</t>
  </si>
  <si>
    <t>MED-0261</t>
  </si>
  <si>
    <t>MED-0262</t>
  </si>
  <si>
    <t>MED-0263</t>
  </si>
  <si>
    <t>MED-0264</t>
  </si>
  <si>
    <t>MED-0265</t>
  </si>
  <si>
    <t>MED-0266</t>
  </si>
  <si>
    <t>MED-0267</t>
  </si>
  <si>
    <t>MED-0268</t>
  </si>
  <si>
    <t>MED-0269</t>
  </si>
  <si>
    <t>MED-0270</t>
  </si>
  <si>
    <t>MED-0271</t>
  </si>
  <si>
    <t>MED-0272</t>
  </si>
  <si>
    <t>MED-0273</t>
  </si>
  <si>
    <t>MED-0274</t>
  </si>
  <si>
    <t>MED-0275</t>
  </si>
  <si>
    <t>MED-0276</t>
  </si>
  <si>
    <t>MED-0277</t>
  </si>
  <si>
    <t>MED-0278</t>
  </si>
  <si>
    <t>MED-0279</t>
  </si>
  <si>
    <t>MED-0280</t>
  </si>
  <si>
    <t>MED-0281</t>
  </si>
  <si>
    <t>MED-0282</t>
  </si>
  <si>
    <t>MED-0283</t>
  </si>
  <si>
    <t>MED-0284</t>
  </si>
  <si>
    <t>MED-0285</t>
  </si>
  <si>
    <t>MED-0286</t>
  </si>
  <si>
    <t>MED-0287</t>
  </si>
  <si>
    <t>MED-0288</t>
  </si>
  <si>
    <t>MED-0289</t>
  </si>
  <si>
    <t>MED-0290</t>
  </si>
  <si>
    <t>MED-0291</t>
  </si>
  <si>
    <t>MED-0292</t>
  </si>
  <si>
    <t>MED-0293</t>
  </si>
  <si>
    <t>MED-0294</t>
  </si>
  <si>
    <t>MED-0295</t>
  </si>
  <si>
    <t>MED-0296</t>
  </si>
  <si>
    <t>MED-0297</t>
  </si>
  <si>
    <t>MED-0298</t>
  </si>
  <si>
    <t>MED-0299</t>
  </si>
  <si>
    <t>MED-0300</t>
  </si>
  <si>
    <t>MED-0301</t>
  </si>
  <si>
    <t>MED-0302</t>
  </si>
  <si>
    <t>MED-0303</t>
  </si>
  <si>
    <t>MED-0304</t>
  </si>
  <si>
    <t>MED-0305</t>
  </si>
  <si>
    <t>MED-0306</t>
  </si>
  <si>
    <t>MED-0307</t>
  </si>
  <si>
    <t>MED-0308</t>
  </si>
  <si>
    <t>MED-0309</t>
  </si>
  <si>
    <t>MED-0310</t>
  </si>
  <si>
    <t>MED-0311</t>
  </si>
  <si>
    <t>MED-0312</t>
  </si>
  <si>
    <t>MED-0313</t>
  </si>
  <si>
    <t>MED-0314</t>
  </si>
  <si>
    <t>MED-0315</t>
  </si>
  <si>
    <t>MED-0316</t>
  </si>
  <si>
    <t>MED-0317</t>
  </si>
  <si>
    <t>MED-0318</t>
  </si>
  <si>
    <t>MED-0319</t>
  </si>
  <si>
    <t>MED-0320</t>
  </si>
  <si>
    <t>MED-0321</t>
  </si>
  <si>
    <t>MED-0322</t>
  </si>
  <si>
    <t>MED-0323</t>
  </si>
  <si>
    <t>MED-0324</t>
  </si>
  <si>
    <t>MED-0325</t>
  </si>
  <si>
    <t>MED-0326</t>
  </si>
  <si>
    <t>MED-0327</t>
  </si>
  <si>
    <t>MED-0328</t>
  </si>
  <si>
    <t>MED-0329</t>
  </si>
  <si>
    <t>Gel USG</t>
  </si>
  <si>
    <t>MED-0330</t>
  </si>
  <si>
    <t>MED-0331</t>
  </si>
  <si>
    <t>MED-0332</t>
  </si>
  <si>
    <t>MED-0333</t>
  </si>
  <si>
    <t>MED-0334</t>
  </si>
  <si>
    <t>MED-0335</t>
  </si>
  <si>
    <t>MED-0336</t>
  </si>
  <si>
    <t>MED-0337</t>
  </si>
  <si>
    <t>MED-0338</t>
  </si>
  <si>
    <t>MED-0339</t>
  </si>
  <si>
    <t>MED-0340</t>
  </si>
  <si>
    <t>MED-0341</t>
  </si>
  <si>
    <t>MED-0342</t>
  </si>
  <si>
    <t>MED-0343</t>
  </si>
  <si>
    <t>MED-0344</t>
  </si>
  <si>
    <t>MED-0345</t>
  </si>
  <si>
    <t>MED-0346</t>
  </si>
  <si>
    <t>MED-0347</t>
  </si>
  <si>
    <t>MED-0348</t>
  </si>
  <si>
    <t>MED-0349</t>
  </si>
  <si>
    <t>MED-0350</t>
  </si>
  <si>
    <t>MED-0351</t>
  </si>
  <si>
    <t>MED-0352</t>
  </si>
  <si>
    <t>MED-0353</t>
  </si>
  <si>
    <t>MED-0354</t>
  </si>
  <si>
    <t>MED-0355</t>
  </si>
  <si>
    <t>MED-0356</t>
  </si>
  <si>
    <t>MED-0357</t>
  </si>
  <si>
    <t>MED-0358</t>
  </si>
  <si>
    <t>MED-0359</t>
  </si>
  <si>
    <t>MED-0360</t>
  </si>
  <si>
    <t>MED-0361</t>
  </si>
  <si>
    <t>MED-0362</t>
  </si>
  <si>
    <t>MED-0363</t>
  </si>
  <si>
    <t>MED-0364</t>
  </si>
  <si>
    <t>MED-0365</t>
  </si>
  <si>
    <t>MED-0366</t>
  </si>
  <si>
    <t>MED-0367</t>
  </si>
  <si>
    <t>MED-0368</t>
  </si>
  <si>
    <t>MED-0369</t>
  </si>
  <si>
    <t>MED-0370</t>
  </si>
  <si>
    <t>MED-0371</t>
  </si>
  <si>
    <t>MED-0372</t>
  </si>
  <si>
    <t>MED-0373</t>
  </si>
  <si>
    <t>MED-0374</t>
  </si>
  <si>
    <t>MED-0375</t>
  </si>
  <si>
    <t>MED-0376</t>
  </si>
  <si>
    <t>MED-0377</t>
  </si>
  <si>
    <t>MED-0378</t>
  </si>
  <si>
    <t>MED-0379</t>
  </si>
  <si>
    <t>MED-0380</t>
  </si>
  <si>
    <t>MED-0381</t>
  </si>
  <si>
    <t>MED-0382</t>
  </si>
  <si>
    <t>MED-0383</t>
  </si>
  <si>
    <t>MED-0384</t>
  </si>
  <si>
    <t>MED-0385</t>
  </si>
  <si>
    <t>MED-0386</t>
  </si>
  <si>
    <t>MED-0387</t>
  </si>
  <si>
    <t>MED-0388</t>
  </si>
  <si>
    <t>MED-0389</t>
  </si>
  <si>
    <t>MED-0390</t>
  </si>
  <si>
    <t>MED-0391</t>
  </si>
  <si>
    <t>MED-0392</t>
  </si>
  <si>
    <t>MED-0393</t>
  </si>
  <si>
    <t>MED-0394</t>
  </si>
  <si>
    <t>MED-0395</t>
  </si>
  <si>
    <t>MED-0396</t>
  </si>
  <si>
    <t>MED-0397</t>
  </si>
  <si>
    <t>MED-0398</t>
  </si>
  <si>
    <t>MED-0399</t>
  </si>
  <si>
    <t>MED-0400</t>
  </si>
  <si>
    <t>MED-0401</t>
  </si>
  <si>
    <t>MED-0402</t>
  </si>
  <si>
    <t>MED-0403</t>
  </si>
  <si>
    <t>MED-0404</t>
  </si>
  <si>
    <t>MED-0405</t>
  </si>
  <si>
    <t>MED-0406</t>
  </si>
  <si>
    <t>MED-0407</t>
  </si>
  <si>
    <t>MED-0408</t>
  </si>
  <si>
    <t>MED-0409</t>
  </si>
  <si>
    <t>MED-0410</t>
  </si>
  <si>
    <t>MED-0411</t>
  </si>
  <si>
    <t>MED-0412</t>
  </si>
  <si>
    <t>Larnamin granule pt sol.orala3g/5g N30</t>
  </si>
  <si>
    <t>MED-0413</t>
  </si>
  <si>
    <t>MED-0414</t>
  </si>
  <si>
    <t>MED-0415</t>
  </si>
  <si>
    <t>MED-0416</t>
  </si>
  <si>
    <t>MED-0417</t>
  </si>
  <si>
    <t>MED-0418</t>
  </si>
  <si>
    <t>MED-0419</t>
  </si>
  <si>
    <t>MED-0420</t>
  </si>
  <si>
    <t>MED-0421</t>
  </si>
  <si>
    <t>MED-0422</t>
  </si>
  <si>
    <t>MED-0423</t>
  </si>
  <si>
    <t>MED-0424</t>
  </si>
  <si>
    <t>MED-0425</t>
  </si>
  <si>
    <t>MED-0426</t>
  </si>
  <si>
    <t>MED-0427</t>
  </si>
  <si>
    <t>MED-0428</t>
  </si>
  <si>
    <t>MED-0429</t>
  </si>
  <si>
    <t>MED-0430</t>
  </si>
  <si>
    <t>MED-0431</t>
  </si>
  <si>
    <t>MED-0432</t>
  </si>
  <si>
    <t>MED-0433</t>
  </si>
  <si>
    <t>MED-0434</t>
  </si>
  <si>
    <t>MED-0435</t>
  </si>
  <si>
    <t>MED-0436</t>
  </si>
  <si>
    <t>MED-0437</t>
  </si>
  <si>
    <t>MED-0438</t>
  </si>
  <si>
    <t>MED-0439</t>
  </si>
  <si>
    <t>MED-0440</t>
  </si>
  <si>
    <t>MED-0441</t>
  </si>
  <si>
    <t>MED-0442</t>
  </si>
  <si>
    <t>MED-0443</t>
  </si>
  <si>
    <t>MED-0444</t>
  </si>
  <si>
    <t>MED-0445</t>
  </si>
  <si>
    <t>MED-0446</t>
  </si>
  <si>
    <t>MED-0447</t>
  </si>
  <si>
    <t>MED-0448</t>
  </si>
  <si>
    <t>MED-0449</t>
  </si>
  <si>
    <t>MED-0450</t>
  </si>
  <si>
    <t>MED-0451</t>
  </si>
  <si>
    <t>MED-0452</t>
  </si>
  <si>
    <t>MED-0453</t>
  </si>
  <si>
    <t>MED-0454</t>
  </si>
  <si>
    <t>MED-0455</t>
  </si>
  <si>
    <t>MED-0456</t>
  </si>
  <si>
    <t>MED-0457</t>
  </si>
  <si>
    <t>MED-0458</t>
  </si>
  <si>
    <t>MED-0459</t>
  </si>
  <si>
    <t>MED-0460</t>
  </si>
  <si>
    <t>MED-0461</t>
  </si>
  <si>
    <t>MED-0462</t>
  </si>
  <si>
    <t>MED-0463</t>
  </si>
  <si>
    <t>MED-0464</t>
  </si>
  <si>
    <t>MED-0465</t>
  </si>
  <si>
    <t>MED-0466</t>
  </si>
  <si>
    <t>MED-0467</t>
  </si>
  <si>
    <t>MED-0468</t>
  </si>
  <si>
    <t>MED-0469</t>
  </si>
  <si>
    <t>MED-0470</t>
  </si>
  <si>
    <t>MED-0471</t>
  </si>
  <si>
    <t>MED-0472</t>
  </si>
  <si>
    <t>MED-0473</t>
  </si>
  <si>
    <t>MED-0474</t>
  </si>
  <si>
    <t>MED-0475</t>
  </si>
  <si>
    <t>MED-0476</t>
  </si>
  <si>
    <t>MED-0477</t>
  </si>
  <si>
    <t>MED-0478</t>
  </si>
  <si>
    <t>MED-0479</t>
  </si>
  <si>
    <t>MED-0480</t>
  </si>
  <si>
    <t>MED-0481</t>
  </si>
  <si>
    <t>MED-0482</t>
  </si>
  <si>
    <t>MED-0483</t>
  </si>
  <si>
    <t>MED-0484</t>
  </si>
  <si>
    <t>MED-0485</t>
  </si>
  <si>
    <t>MED-0486</t>
  </si>
  <si>
    <t>MED-0487</t>
  </si>
  <si>
    <t>MED-0488</t>
  </si>
  <si>
    <t>MED-0489</t>
  </si>
  <si>
    <t>MED-0490</t>
  </si>
  <si>
    <t>MED-0491</t>
  </si>
  <si>
    <t>MED-0492</t>
  </si>
  <si>
    <t>MED-0493</t>
  </si>
  <si>
    <t>MED-0494</t>
  </si>
  <si>
    <t>MED-0495</t>
  </si>
  <si>
    <t>MED-0496</t>
  </si>
  <si>
    <t>MED-0497</t>
  </si>
  <si>
    <t>MED-0498</t>
  </si>
  <si>
    <t>MED-0499</t>
  </si>
  <si>
    <t>MED-0500</t>
  </si>
  <si>
    <t>MED-0501</t>
  </si>
  <si>
    <t>MED-0502</t>
  </si>
  <si>
    <t>Nalgesin forte 550 mg N10</t>
  </si>
  <si>
    <t>MED-0503</t>
  </si>
  <si>
    <t>MED-0504</t>
  </si>
  <si>
    <t>MED-0505</t>
  </si>
  <si>
    <t>MED-0506</t>
  </si>
  <si>
    <t>MED-0507</t>
  </si>
  <si>
    <t>MED-0508</t>
  </si>
  <si>
    <t>MED-0509</t>
  </si>
  <si>
    <t>MED-0510</t>
  </si>
  <si>
    <t>MED-0511</t>
  </si>
  <si>
    <t>MED-0512</t>
  </si>
  <si>
    <t>MED-0513</t>
  </si>
  <si>
    <t>MED-0514</t>
  </si>
  <si>
    <t>MED-0515</t>
  </si>
  <si>
    <t>MED-0516</t>
  </si>
  <si>
    <t>MED-0517</t>
  </si>
  <si>
    <t>MED-0518</t>
  </si>
  <si>
    <t>MED-0519</t>
  </si>
  <si>
    <t>MED-0520</t>
  </si>
  <si>
    <t>MED-0521</t>
  </si>
  <si>
    <t>MED-0522</t>
  </si>
  <si>
    <t>MED-0523</t>
  </si>
  <si>
    <t>MED-0524</t>
  </si>
  <si>
    <t>MED-0525</t>
  </si>
  <si>
    <t>MED-0526</t>
  </si>
  <si>
    <t>MED-0527</t>
  </si>
  <si>
    <t>MED-0528</t>
  </si>
  <si>
    <t>MED-0529</t>
  </si>
  <si>
    <t>MED-0530</t>
  </si>
  <si>
    <t>MED-0531</t>
  </si>
  <si>
    <t>MED-0532</t>
  </si>
  <si>
    <t>MED-0533</t>
  </si>
  <si>
    <t>Pansament steril 10cm*20cm</t>
  </si>
  <si>
    <t>MED-0534</t>
  </si>
  <si>
    <t>Pansament steril 10cm*30cm</t>
  </si>
  <si>
    <t>MED-0535</t>
  </si>
  <si>
    <t>MED-0536</t>
  </si>
  <si>
    <t>MED-0537</t>
  </si>
  <si>
    <t>MED-0538</t>
  </si>
  <si>
    <t>MED-0539</t>
  </si>
  <si>
    <t>MED-0540</t>
  </si>
  <si>
    <t>MED-0541</t>
  </si>
  <si>
    <t>MED-0542</t>
  </si>
  <si>
    <t>MED-0543</t>
  </si>
  <si>
    <t>MED-0544</t>
  </si>
  <si>
    <t>MED-0545</t>
  </si>
  <si>
    <t>MED-0546</t>
  </si>
  <si>
    <t>MED-0547</t>
  </si>
  <si>
    <t>MED-0548</t>
  </si>
  <si>
    <t>MED-0549</t>
  </si>
  <si>
    <t>MED-0550</t>
  </si>
  <si>
    <t>MED-0551</t>
  </si>
  <si>
    <t>MED-0552</t>
  </si>
  <si>
    <t>MED-0553</t>
  </si>
  <si>
    <t>MED-0554</t>
  </si>
  <si>
    <t>MED-0555</t>
  </si>
  <si>
    <t>MED-0556</t>
  </si>
  <si>
    <t>MED-0557</t>
  </si>
  <si>
    <t>MED-0558</t>
  </si>
  <si>
    <t>MED-0559</t>
  </si>
  <si>
    <t>MED-0560</t>
  </si>
  <si>
    <t>MED-0561</t>
  </si>
  <si>
    <t>MED-0562</t>
  </si>
  <si>
    <t>MED-0563</t>
  </si>
  <si>
    <t>MED-0564</t>
  </si>
  <si>
    <t>MED-0565</t>
  </si>
  <si>
    <t>MED-0566</t>
  </si>
  <si>
    <t>MED-0567</t>
  </si>
  <si>
    <t>MED-0568</t>
  </si>
  <si>
    <t>MED-0569</t>
  </si>
  <si>
    <t>MED-0570</t>
  </si>
  <si>
    <t>MED-0571</t>
  </si>
  <si>
    <t>MED-0572</t>
  </si>
  <si>
    <t>MED-0573</t>
  </si>
  <si>
    <t>MED-0574</t>
  </si>
  <si>
    <t>MED-0575</t>
  </si>
  <si>
    <t>MED-0576</t>
  </si>
  <si>
    <t>MED-0577</t>
  </si>
  <si>
    <t>MED-0578</t>
  </si>
  <si>
    <t>MED-0579</t>
  </si>
  <si>
    <t>MED-0580</t>
  </si>
  <si>
    <t>MED-0581</t>
  </si>
  <si>
    <t>MED-0582</t>
  </si>
  <si>
    <t>MED-0583</t>
  </si>
  <si>
    <t>MED-0584</t>
  </si>
  <si>
    <t>MED-0585</t>
  </si>
  <si>
    <t>MED-0586</t>
  </si>
  <si>
    <t>MED-0587</t>
  </si>
  <si>
    <t>MED-0588</t>
  </si>
  <si>
    <t>MED-0589</t>
  </si>
  <si>
    <t>MED-0590</t>
  </si>
  <si>
    <t>MED-0591</t>
  </si>
  <si>
    <t>MED-0592</t>
  </si>
  <si>
    <t>MED-0593</t>
  </si>
  <si>
    <t>MED-0594</t>
  </si>
  <si>
    <t>MED-0595</t>
  </si>
  <si>
    <t>MED-0596</t>
  </si>
  <si>
    <t>MED-0597</t>
  </si>
  <si>
    <t>MED-0598</t>
  </si>
  <si>
    <t>MED-0599</t>
  </si>
  <si>
    <t>MED-0600</t>
  </si>
  <si>
    <t>MED-0601</t>
  </si>
  <si>
    <t>MED-0602</t>
  </si>
  <si>
    <t>MED-0603</t>
  </si>
  <si>
    <t>MED-0604</t>
  </si>
  <si>
    <t>MED-0605</t>
  </si>
  <si>
    <t>MED-0606</t>
  </si>
  <si>
    <t>MED-0607</t>
  </si>
  <si>
    <t>MED-0608</t>
  </si>
  <si>
    <t>MED-0609</t>
  </si>
  <si>
    <t>MED-0610</t>
  </si>
  <si>
    <t>MED-0611</t>
  </si>
  <si>
    <t>MED-0612</t>
  </si>
  <si>
    <t>MED-0613</t>
  </si>
  <si>
    <t>MED-0614</t>
  </si>
  <si>
    <t>MED-0615</t>
  </si>
  <si>
    <t>MED-0616</t>
  </si>
  <si>
    <t>Seringa p/u insulina 1ml,100 UI</t>
  </si>
  <si>
    <t>MED-0617</t>
  </si>
  <si>
    <t>MED-0618</t>
  </si>
  <si>
    <t>MED-0619</t>
  </si>
  <si>
    <t>MED-0620</t>
  </si>
  <si>
    <t>MED-0621</t>
  </si>
  <si>
    <t>MED-0622</t>
  </si>
  <si>
    <t>MED-0623</t>
  </si>
  <si>
    <t>MED-0624</t>
  </si>
  <si>
    <t>MED-0625</t>
  </si>
  <si>
    <t>MED-0626</t>
  </si>
  <si>
    <t>MED-0627</t>
  </si>
  <si>
    <t>MED-0628</t>
  </si>
  <si>
    <t>MED-0629</t>
  </si>
  <si>
    <t>MED-0630</t>
  </si>
  <si>
    <t>MED-0631</t>
  </si>
  <si>
    <t>Sisteme p/u transfuzii</t>
  </si>
  <si>
    <t>MED-0632</t>
  </si>
  <si>
    <t>MED-0633</t>
  </si>
  <si>
    <t>MED-0634</t>
  </si>
  <si>
    <t>MED-0635</t>
  </si>
  <si>
    <t>MED-0636</t>
  </si>
  <si>
    <t>MED-0637</t>
  </si>
  <si>
    <t>MED-0638</t>
  </si>
  <si>
    <t>MED-0639</t>
  </si>
  <si>
    <t>MED-0640</t>
  </si>
  <si>
    <t>MED-0641</t>
  </si>
  <si>
    <t>MED-0642</t>
  </si>
  <si>
    <t>MED-0643</t>
  </si>
  <si>
    <t>MED-0644</t>
  </si>
  <si>
    <t>MED-0645</t>
  </si>
  <si>
    <t>MED-0646</t>
  </si>
  <si>
    <t>MED-0647</t>
  </si>
  <si>
    <t>MED-0648</t>
  </si>
  <si>
    <t>MED-0649</t>
  </si>
  <si>
    <t>MED-0650</t>
  </si>
  <si>
    <t>MED-0651</t>
  </si>
  <si>
    <t>MED-0652</t>
  </si>
  <si>
    <t>MED-0653</t>
  </si>
  <si>
    <t>MED-0654</t>
  </si>
  <si>
    <t>MED-0655</t>
  </si>
  <si>
    <t>MED-0656</t>
  </si>
  <si>
    <t>MED-0657</t>
  </si>
  <si>
    <t>MED-0658</t>
  </si>
  <si>
    <t>MED-0659</t>
  </si>
  <si>
    <t>MED-0660</t>
  </si>
  <si>
    <t>MED-0661</t>
  </si>
  <si>
    <t>MED-0662</t>
  </si>
  <si>
    <t>MED-0663</t>
  </si>
  <si>
    <t>MED-0664</t>
  </si>
  <si>
    <t>MED-0665</t>
  </si>
  <si>
    <t>MED-0666</t>
  </si>
  <si>
    <t>MED-0667</t>
  </si>
  <si>
    <t>MED-0668</t>
  </si>
  <si>
    <t>MED-0669</t>
  </si>
  <si>
    <t>MED-0670</t>
  </si>
  <si>
    <t>MED-0671</t>
  </si>
  <si>
    <t>MED-0672</t>
  </si>
  <si>
    <t>MED-0673</t>
  </si>
  <si>
    <t>MED-0674</t>
  </si>
  <si>
    <t>MED-0675</t>
  </si>
  <si>
    <t>MED-0676</t>
  </si>
  <si>
    <t>Timonil retard comp.150mg N50</t>
  </si>
  <si>
    <t>MED-0677</t>
  </si>
  <si>
    <t>Timonil retard comp.300mg N50</t>
  </si>
  <si>
    <t>MED-0678</t>
  </si>
  <si>
    <t>MED-0679</t>
  </si>
  <si>
    <t>MED-0680</t>
  </si>
  <si>
    <t>MED-0681</t>
  </si>
  <si>
    <t>MED-0682</t>
  </si>
  <si>
    <t>MED-0683</t>
  </si>
  <si>
    <t>MED-0684</t>
  </si>
  <si>
    <t>MED-0685</t>
  </si>
  <si>
    <t>MED-0686</t>
  </si>
  <si>
    <t>MED-0687</t>
  </si>
  <si>
    <t>MED-0688</t>
  </si>
  <si>
    <t>MED-0689</t>
  </si>
  <si>
    <t>MED-0690</t>
  </si>
  <si>
    <t>MED-0691</t>
  </si>
  <si>
    <t>MED-0692</t>
  </si>
  <si>
    <t>MED-0693</t>
  </si>
  <si>
    <t>MED-0694</t>
  </si>
  <si>
    <t>MED-0695</t>
  </si>
  <si>
    <t>MED-0696</t>
  </si>
  <si>
    <t>MED-0697</t>
  </si>
  <si>
    <t>MED-0698</t>
  </si>
  <si>
    <t>MED-0699</t>
  </si>
  <si>
    <t>MED-0700</t>
  </si>
  <si>
    <t>MED-0701</t>
  </si>
  <si>
    <t>MED-0702</t>
  </si>
  <si>
    <t>MED-0703</t>
  </si>
  <si>
    <t>MED-0704</t>
  </si>
  <si>
    <t>MED-0705</t>
  </si>
  <si>
    <t>Urfocin 3g gran/oral sol.N1</t>
  </si>
  <si>
    <t>MED-0706</t>
  </si>
  <si>
    <t>MED-0707</t>
  </si>
  <si>
    <t>MED-0708</t>
  </si>
  <si>
    <t>MED-0709</t>
  </si>
  <si>
    <t>MED-0710</t>
  </si>
  <si>
    <t>MED-0711</t>
  </si>
  <si>
    <t>MED-0712</t>
  </si>
  <si>
    <t>MED-0713</t>
  </si>
  <si>
    <t>MED-0714</t>
  </si>
  <si>
    <t>MED-0715</t>
  </si>
  <si>
    <t>MED-0716</t>
  </si>
  <si>
    <t>MED-0717</t>
  </si>
  <si>
    <t>MED-0718</t>
  </si>
  <si>
    <t>MED-0719</t>
  </si>
  <si>
    <t>MED-0720</t>
  </si>
  <si>
    <t>MED-0721</t>
  </si>
  <si>
    <t>MED-0722</t>
  </si>
  <si>
    <t>MED-0723</t>
  </si>
  <si>
    <t>MED-0724</t>
  </si>
  <si>
    <t>MED-0725</t>
  </si>
  <si>
    <t>MED-0726</t>
  </si>
  <si>
    <t>MED-0727</t>
  </si>
  <si>
    <t>MED-0728</t>
  </si>
  <si>
    <t>MED-0729</t>
  </si>
  <si>
    <t>MED-0730</t>
  </si>
  <si>
    <t>MED-0731</t>
  </si>
  <si>
    <t>MED-0732</t>
  </si>
  <si>
    <t>MED-0733</t>
  </si>
  <si>
    <t>MED-0734</t>
  </si>
  <si>
    <t>MED-0735</t>
  </si>
  <si>
    <t>MED-0736</t>
  </si>
  <si>
    <t>MED-0737</t>
  </si>
  <si>
    <t>MED-0738</t>
  </si>
  <si>
    <t>MED-0739</t>
  </si>
  <si>
    <t>MED-0740</t>
  </si>
  <si>
    <t>Instrucțiuni pentru integrare</t>
  </si>
  <si>
    <t>Ce s-a calculat</t>
  </si>
  <si>
    <t>Prețul unitar = total_valoare / cantitate.</t>
  </si>
  <si>
    <t>Unde este rezultatul</t>
  </si>
  <si>
    <t>Sheet Export_preturi, coloana G pret_unitar.</t>
  </si>
  <si>
    <t>Pentru sistem</t>
  </si>
  <si>
    <t>Folosiți coloanele: item_id, denumire, cantitate, total_valoare, pret_unitar, moneda.</t>
  </si>
  <si>
    <t>Validare</t>
  </si>
  <si>
    <t>Coloana J arată OK sau probleme de date.</t>
  </si>
  <si>
    <t>Original</t>
  </si>
  <si>
    <t>În Лист3 am adăugat coloana D cu preț/unitate calculat.</t>
  </si>
  <si>
    <t>Actualizare</t>
  </si>
  <si>
    <t>Dacă modificați totalul sau cantitatea în Лист3, coloana D se recalculează.</t>
  </si>
  <si>
    <t>CSV/JSON</t>
  </si>
  <si>
    <t>Export_preturi poate fi salvat ca CSV pentru import în aplicație.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</si>
</sst>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;[Red]\-#,##0.000"/>
    <numFmt numFmtId="165" formatCode="0.00;[Red]\-0.00"/>
    <numFmt numFmtId="166" formatCode="0.000;[Red]\-0.000"/>
    <numFmt numFmtId="167" formatCode="0.000"/>
  </numFmts>
  <fonts count="6" x14ac:knownFonts="1">
    <font>
      <sz val="10"/>
      <color rgb="FF000000"/>
      <name val="Arial"/>
    </font>
    <font>
      <sz val="14"/>
      <color theme="1"/>
      <name val="Arial"/>
    </font>
    <font>
      <b/>
      <sz val="14"/>
      <color theme="1"/>
      <name val="Arial"/>
    </font>
    <font>
      <sz val="10"/>
      <name val="Arial"/>
    </font>
    <font>
      <b/>
      <sz val="10"/>
      <color rgb="FFFFFFFF"/>
      <name val="Arial"/>
    </font>
    <font>
      <b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9" xfId="0" applyFont="1" applyBorder="1" applyAlignment="1">
      <alignment horizontal="center"/>
    </xf>
    <xf numFmtId="40" fontId="2" fillId="0" borderId="11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right" vertical="top" wrapText="1"/>
    </xf>
    <xf numFmtId="0" fontId="2" fillId="0" borderId="12" xfId="0" applyFont="1" applyBorder="1" applyAlignment="1">
      <alignment horizontal="right" vertical="top" wrapText="1"/>
    </xf>
    <xf numFmtId="164" fontId="2" fillId="0" borderId="14" xfId="0" applyNumberFormat="1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right" vertical="top" wrapText="1"/>
    </xf>
    <xf numFmtId="165" fontId="1" fillId="0" borderId="11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right" vertical="top" wrapText="1"/>
    </xf>
    <xf numFmtId="0" fontId="1" fillId="0" borderId="12" xfId="0" applyFont="1" applyBorder="1" applyAlignment="1">
      <alignment horizontal="righ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4" xfId="0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  <xf numFmtId="40" fontId="1" fillId="0" borderId="11" xfId="0" applyNumberFormat="1" applyFont="1" applyBorder="1" applyAlignment="1">
      <alignment horizontal="right" vertical="top" wrapText="1"/>
    </xf>
    <xf numFmtId="164" fontId="1" fillId="0" borderId="14" xfId="0" applyNumberFormat="1" applyFont="1" applyBorder="1" applyAlignment="1">
      <alignment horizontal="right" vertical="top" wrapText="1"/>
    </xf>
    <xf numFmtId="40" fontId="2" fillId="0" borderId="16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1" fillId="0" borderId="2" xfId="0" applyFont="1" applyBorder="1"/>
    <xf numFmtId="0" fontId="4" fillId="2" borderId="0" xfId="0" applyFont="1" applyFill="1"/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167" fontId="0" fillId="0" borderId="0" xfId="0" applyNumberFormat="1" applyAlignment="1">
      <alignment wrapText="1"/>
    </xf>
    <xf numFmtId="0" fontId="5" fillId="2" borderId="9" xfId="0" applyFont="1" applyFill="1" applyBorder="1" applyAlignment="1">
      <alignment horizontal="center" vertical="center" wrapText="1"/>
    </xf>
    <xf numFmtId="2" fontId="2" fillId="0" borderId="11" xfId="0" applyNumberFormat="1" applyFont="1" applyBorder="1" applyAlignment="1">
      <alignment horizontal="right" vertical="top" wrapText="1"/>
    </xf>
    <xf numFmtId="2" fontId="2" fillId="0" borderId="14" xfId="0" applyNumberFormat="1" applyFont="1" applyBorder="1" applyAlignment="1">
      <alignment horizontal="right" vertical="top" wrapText="1"/>
    </xf>
    <xf numFmtId="2" fontId="1" fillId="0" borderId="11" xfId="0" applyNumberFormat="1" applyFont="1" applyBorder="1" applyAlignment="1">
      <alignment horizontal="right" vertical="top" wrapText="1"/>
    </xf>
    <xf numFmtId="2" fontId="1" fillId="0" borderId="14" xfId="0" applyNumberFormat="1" applyFont="1" applyBorder="1" applyAlignment="1">
      <alignment horizontal="right" vertical="top" wrapText="1"/>
    </xf>
    <xf numFmtId="2" fontId="2" fillId="0" borderId="16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3" fillId="0" borderId="14" xfId="0" applyFont="1" applyBorder="1"/>
    <xf numFmtId="0" fontId="1" fillId="0" borderId="10" xfId="0" applyFont="1" applyBorder="1" applyAlignment="1">
      <alignment horizontal="left" vertical="top" wrapText="1"/>
    </xf>
    <xf numFmtId="0" fontId="3" fillId="0" borderId="11" xfId="0" applyFont="1" applyBorder="1"/>
    <xf numFmtId="0" fontId="2" fillId="0" borderId="1" xfId="0" applyFont="1" applyBorder="1" applyAlignment="1">
      <alignment vertical="top"/>
    </xf>
    <xf numFmtId="0" fontId="3" fillId="0" borderId="16" xfId="0" applyFont="1" applyBorder="1"/>
    <xf numFmtId="0" fontId="1" fillId="0" borderId="2" xfId="0" applyFont="1" applyBorder="1"/>
    <xf numFmtId="0" fontId="3" fillId="0" borderId="2" xfId="0" applyFont="1" applyBorder="1"/>
    <xf numFmtId="0" fontId="1" fillId="0" borderId="5" xfId="0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6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3" fillId="0" borderId="8" xfId="0" applyFont="1" applyBorder="1"/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ortPreturiTable" displayName="ExportPreturiTable" ref="A1:K741">
  <tableColumns count="11">
    <tableColumn id="1" xr3:uid="{00000000-0010-0000-0000-000001000000}" name="item_id"/>
    <tableColumn id="2" xr3:uid="{00000000-0010-0000-0000-000002000000}" name="source_value_row"/>
    <tableColumn id="3" xr3:uid="{00000000-0010-0000-0000-000003000000}" name="source_qty_row"/>
    <tableColumn id="4" xr3:uid="{00000000-0010-0000-0000-000004000000}" name="denumire"/>
    <tableColumn id="5" xr3:uid="{00000000-0010-0000-0000-000005000000}" name="total_valoare"/>
    <tableColumn id="6" xr3:uid="{00000000-0010-0000-0000-000006000000}" name="cantitate"/>
    <tableColumn id="7" xr3:uid="{00000000-0010-0000-0000-000007000000}" name="pret_unitar"/>
    <tableColumn id="8" xr3:uid="{00000000-0010-0000-0000-000008000000}" name="moneda"/>
    <tableColumn id="9" xr3:uid="{00000000-0010-0000-0000-000009000000}" name="sursa"/>
    <tableColumn id="10" xr3:uid="{00000000-0010-0000-0000-00000A000000}" name="validare"/>
    <tableColumn id="11" xr3:uid="{00000000-0010-0000-0000-00000B000000}" name="observati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93"/>
  <sheetViews>
    <sheetView topLeftCell="A31" workbookViewId="0">
      <selection activeCell="D41" sqref="D41"/>
    </sheetView>
  </sheetViews>
  <sheetFormatPr defaultColWidth="12.6640625" defaultRowHeight="13.2" x14ac:dyDescent="0.25"/>
  <cols>
    <col min="1" max="1" width="7.6640625" customWidth="1"/>
    <col min="2" max="2" width="24.33203125" customWidth="1"/>
    <col min="3" max="3" width="19.77734375" customWidth="1"/>
    <col min="4" max="4" width="14" customWidth="1"/>
    <col min="5" max="6" width="7.6640625" customWidth="1"/>
    <col min="7" max="7" width="19.77734375" customWidth="1"/>
    <col min="8" max="26" width="7.6640625" customWidth="1"/>
  </cols>
  <sheetData>
    <row r="1" spans="1:8" ht="12.6" customHeight="1" x14ac:dyDescent="0.3">
      <c r="A1" s="1"/>
      <c r="B1" s="1"/>
      <c r="C1" s="1"/>
      <c r="D1" s="1"/>
      <c r="E1" s="1"/>
      <c r="F1" s="1"/>
      <c r="G1" s="1"/>
      <c r="H1" s="1"/>
    </row>
    <row r="2" spans="1:8" ht="12.6" customHeight="1" x14ac:dyDescent="0.3">
      <c r="A2" s="1"/>
      <c r="B2" s="1"/>
      <c r="C2" s="1"/>
      <c r="D2" s="1"/>
      <c r="E2" s="1"/>
      <c r="F2" s="1"/>
      <c r="G2" s="1"/>
      <c r="H2" s="1"/>
    </row>
    <row r="3" spans="1:8" ht="12.6" customHeight="1" x14ac:dyDescent="0.3">
      <c r="A3" s="1"/>
      <c r="B3" s="1"/>
      <c r="C3" s="1"/>
      <c r="D3" s="1"/>
      <c r="E3" s="1"/>
      <c r="F3" s="1"/>
      <c r="G3" s="1"/>
      <c r="H3" s="1"/>
    </row>
    <row r="4" spans="1:8" ht="12.6" customHeight="1" x14ac:dyDescent="0.3">
      <c r="A4" s="1"/>
      <c r="B4" s="1"/>
      <c r="C4" s="1"/>
      <c r="D4" s="1"/>
      <c r="E4" s="1"/>
      <c r="F4" s="1"/>
      <c r="G4" s="1"/>
      <c r="H4" s="1"/>
    </row>
    <row r="5" spans="1:8" ht="12.6" customHeight="1" x14ac:dyDescent="0.3">
      <c r="A5" s="1"/>
      <c r="B5" s="1"/>
      <c r="C5" s="1"/>
      <c r="D5" s="1"/>
      <c r="E5" s="1"/>
      <c r="F5" s="1"/>
      <c r="G5" s="1"/>
      <c r="H5" s="1"/>
    </row>
    <row r="6" spans="1:8" ht="12.6" customHeight="1" x14ac:dyDescent="0.3">
      <c r="A6" s="1"/>
      <c r="B6" s="1"/>
      <c r="C6" s="1"/>
      <c r="D6" s="1"/>
      <c r="E6" s="1"/>
      <c r="F6" s="1"/>
      <c r="G6" s="1"/>
      <c r="H6" s="1"/>
    </row>
    <row r="7" spans="1:8" ht="12.6" customHeight="1" x14ac:dyDescent="0.3">
      <c r="A7" s="1"/>
      <c r="B7" s="1"/>
      <c r="C7" s="1"/>
      <c r="D7" s="1"/>
      <c r="E7" s="1"/>
      <c r="F7" s="1"/>
      <c r="G7" s="1"/>
      <c r="H7" s="1"/>
    </row>
    <row r="8" spans="1:8" ht="17.399999999999999" x14ac:dyDescent="0.25">
      <c r="A8" s="43" t="s">
        <v>0</v>
      </c>
      <c r="B8" s="39"/>
      <c r="C8" s="44" t="s">
        <v>1</v>
      </c>
      <c r="D8" s="45" t="s">
        <v>745</v>
      </c>
      <c r="E8" s="40"/>
      <c r="F8" s="41"/>
      <c r="G8" s="40"/>
      <c r="H8" s="42"/>
    </row>
    <row r="9" spans="1:8" ht="12.6" customHeight="1" x14ac:dyDescent="0.3">
      <c r="A9" s="46"/>
      <c r="B9" s="47"/>
      <c r="C9" s="2" t="s">
        <v>2</v>
      </c>
      <c r="D9" s="26" t="s">
        <v>746</v>
      </c>
      <c r="E9" s="2"/>
      <c r="F9" s="2"/>
      <c r="G9" s="2"/>
      <c r="H9" s="2"/>
    </row>
    <row r="10" spans="1:8" ht="17.399999999999999" x14ac:dyDescent="0.25">
      <c r="A10" s="48" t="s">
        <v>3</v>
      </c>
      <c r="B10" s="35"/>
      <c r="C10" s="3">
        <v>5971404.9100000001</v>
      </c>
      <c r="D10" s="27">
        <f t="shared" ref="D10:D73" si="0">IF($A11="Кол-во",IFERROR($C10/$C11,""),"")</f>
        <v>5.1536718047416432</v>
      </c>
      <c r="E10" s="4"/>
      <c r="F10" s="4"/>
      <c r="G10" s="3"/>
      <c r="H10" s="5"/>
    </row>
    <row r="11" spans="1:8" ht="17.399999999999999" x14ac:dyDescent="0.25">
      <c r="A11" s="49" t="s">
        <v>4</v>
      </c>
      <c r="B11" s="33"/>
      <c r="C11" s="6">
        <v>1158670</v>
      </c>
      <c r="D11" s="28" t="str">
        <f t="shared" si="0"/>
        <v/>
      </c>
      <c r="E11" s="7"/>
      <c r="F11" s="7"/>
      <c r="G11" s="6"/>
      <c r="H11" s="8"/>
    </row>
    <row r="12" spans="1:8" ht="17.399999999999999" x14ac:dyDescent="0.25">
      <c r="A12" s="34" t="s">
        <v>5</v>
      </c>
      <c r="B12" s="35"/>
      <c r="C12" s="9">
        <v>32.49</v>
      </c>
      <c r="D12" s="29">
        <f t="shared" si="0"/>
        <v>32.49</v>
      </c>
      <c r="E12" s="10"/>
      <c r="F12" s="10"/>
      <c r="G12" s="9"/>
      <c r="H12" s="11"/>
    </row>
    <row r="13" spans="1:8" ht="17.399999999999999" x14ac:dyDescent="0.25">
      <c r="A13" s="32" t="s">
        <v>4</v>
      </c>
      <c r="B13" s="33"/>
      <c r="C13" s="12">
        <v>1</v>
      </c>
      <c r="D13" s="30" t="str">
        <f t="shared" si="0"/>
        <v/>
      </c>
      <c r="E13" s="13"/>
      <c r="F13" s="13"/>
      <c r="G13" s="12"/>
      <c r="H13" s="14"/>
    </row>
    <row r="14" spans="1:8" ht="17.399999999999999" x14ac:dyDescent="0.25">
      <c r="A14" s="34" t="s">
        <v>6</v>
      </c>
      <c r="B14" s="35"/>
      <c r="C14" s="9">
        <v>355.1</v>
      </c>
      <c r="D14" s="29">
        <f t="shared" si="0"/>
        <v>14.795833333333334</v>
      </c>
      <c r="E14" s="10"/>
      <c r="F14" s="10"/>
      <c r="G14" s="9"/>
      <c r="H14" s="11"/>
    </row>
    <row r="15" spans="1:8" ht="17.399999999999999" x14ac:dyDescent="0.25">
      <c r="A15" s="32" t="s">
        <v>4</v>
      </c>
      <c r="B15" s="33"/>
      <c r="C15" s="12">
        <v>24</v>
      </c>
      <c r="D15" s="30" t="str">
        <f t="shared" si="0"/>
        <v/>
      </c>
      <c r="E15" s="13"/>
      <c r="F15" s="13"/>
      <c r="G15" s="12"/>
      <c r="H15" s="14"/>
    </row>
    <row r="16" spans="1:8" ht="17.399999999999999" x14ac:dyDescent="0.25">
      <c r="A16" s="34" t="s">
        <v>7</v>
      </c>
      <c r="B16" s="35"/>
      <c r="C16" s="15">
        <v>2113.04</v>
      </c>
      <c r="D16" s="29">
        <f t="shared" si="0"/>
        <v>11.005416666666667</v>
      </c>
      <c r="E16" s="10"/>
      <c r="F16" s="10"/>
      <c r="G16" s="15"/>
      <c r="H16" s="11"/>
    </row>
    <row r="17" spans="1:8" ht="17.399999999999999" x14ac:dyDescent="0.25">
      <c r="A17" s="32" t="s">
        <v>4</v>
      </c>
      <c r="B17" s="33"/>
      <c r="C17" s="12">
        <v>192</v>
      </c>
      <c r="D17" s="30" t="str">
        <f t="shared" si="0"/>
        <v/>
      </c>
      <c r="E17" s="13"/>
      <c r="F17" s="13"/>
      <c r="G17" s="12"/>
      <c r="H17" s="14"/>
    </row>
    <row r="18" spans="1:8" ht="17.399999999999999" x14ac:dyDescent="0.25">
      <c r="A18" s="34" t="s">
        <v>8</v>
      </c>
      <c r="B18" s="35"/>
      <c r="C18" s="9">
        <v>710.2</v>
      </c>
      <c r="D18" s="29">
        <f t="shared" si="0"/>
        <v>14.795833333333334</v>
      </c>
      <c r="E18" s="10"/>
      <c r="F18" s="10"/>
      <c r="G18" s="9"/>
      <c r="H18" s="11"/>
    </row>
    <row r="19" spans="1:8" ht="17.399999999999999" x14ac:dyDescent="0.25">
      <c r="A19" s="32" t="s">
        <v>4</v>
      </c>
      <c r="B19" s="33"/>
      <c r="C19" s="12">
        <v>48</v>
      </c>
      <c r="D19" s="30" t="str">
        <f t="shared" si="0"/>
        <v/>
      </c>
      <c r="E19" s="13"/>
      <c r="F19" s="13"/>
      <c r="G19" s="12"/>
      <c r="H19" s="14"/>
    </row>
    <row r="20" spans="1:8" ht="17.399999999999999" x14ac:dyDescent="0.25">
      <c r="A20" s="34" t="s">
        <v>9</v>
      </c>
      <c r="B20" s="35"/>
      <c r="C20" s="9">
        <v>537.58000000000004</v>
      </c>
      <c r="D20" s="29">
        <f t="shared" si="0"/>
        <v>11.199583333333335</v>
      </c>
      <c r="E20" s="10"/>
      <c r="F20" s="10"/>
      <c r="G20" s="9"/>
      <c r="H20" s="11"/>
    </row>
    <row r="21" spans="1:8" ht="17.399999999999999" x14ac:dyDescent="0.25">
      <c r="A21" s="32" t="s">
        <v>4</v>
      </c>
      <c r="B21" s="33"/>
      <c r="C21" s="12">
        <v>48</v>
      </c>
      <c r="D21" s="30" t="str">
        <f t="shared" si="0"/>
        <v/>
      </c>
      <c r="E21" s="13"/>
      <c r="F21" s="13"/>
      <c r="G21" s="12"/>
      <c r="H21" s="14"/>
    </row>
    <row r="22" spans="1:8" ht="17.399999999999999" x14ac:dyDescent="0.25">
      <c r="A22" s="34" t="s">
        <v>10</v>
      </c>
      <c r="B22" s="35"/>
      <c r="C22" s="9">
        <v>235.09</v>
      </c>
      <c r="D22" s="29">
        <f t="shared" si="0"/>
        <v>9.7954166666666662</v>
      </c>
      <c r="E22" s="10"/>
      <c r="F22" s="10"/>
      <c r="G22" s="9"/>
      <c r="H22" s="11"/>
    </row>
    <row r="23" spans="1:8" ht="17.399999999999999" x14ac:dyDescent="0.25">
      <c r="A23" s="32" t="s">
        <v>4</v>
      </c>
      <c r="B23" s="33"/>
      <c r="C23" s="12">
        <v>24</v>
      </c>
      <c r="D23" s="30" t="str">
        <f t="shared" si="0"/>
        <v/>
      </c>
      <c r="E23" s="13"/>
      <c r="F23" s="13"/>
      <c r="G23" s="12"/>
      <c r="H23" s="14"/>
    </row>
    <row r="24" spans="1:8" ht="17.399999999999999" x14ac:dyDescent="0.25">
      <c r="A24" s="34" t="s">
        <v>11</v>
      </c>
      <c r="B24" s="35"/>
      <c r="C24" s="9">
        <v>283.31</v>
      </c>
      <c r="D24" s="29">
        <f t="shared" si="0"/>
        <v>11.804583333333333</v>
      </c>
      <c r="E24" s="10"/>
      <c r="F24" s="10"/>
      <c r="G24" s="9"/>
      <c r="H24" s="11"/>
    </row>
    <row r="25" spans="1:8" ht="17.399999999999999" x14ac:dyDescent="0.25">
      <c r="A25" s="32" t="s">
        <v>4</v>
      </c>
      <c r="B25" s="33"/>
      <c r="C25" s="12">
        <v>24</v>
      </c>
      <c r="D25" s="30" t="str">
        <f t="shared" si="0"/>
        <v/>
      </c>
      <c r="E25" s="13"/>
      <c r="F25" s="13"/>
      <c r="G25" s="12"/>
      <c r="H25" s="14"/>
    </row>
    <row r="26" spans="1:8" ht="17.399999999999999" x14ac:dyDescent="0.25">
      <c r="A26" s="34" t="s">
        <v>12</v>
      </c>
      <c r="B26" s="35"/>
      <c r="C26" s="15">
        <v>2202.21</v>
      </c>
      <c r="D26" s="29">
        <f t="shared" si="0"/>
        <v>10.195416666666667</v>
      </c>
      <c r="E26" s="10"/>
      <c r="F26" s="10"/>
      <c r="G26" s="15"/>
      <c r="H26" s="11"/>
    </row>
    <row r="27" spans="1:8" ht="17.399999999999999" x14ac:dyDescent="0.25">
      <c r="A27" s="32" t="s">
        <v>4</v>
      </c>
      <c r="B27" s="33"/>
      <c r="C27" s="12">
        <v>216</v>
      </c>
      <c r="D27" s="30" t="str">
        <f t="shared" si="0"/>
        <v/>
      </c>
      <c r="E27" s="13"/>
      <c r="F27" s="13"/>
      <c r="G27" s="12"/>
      <c r="H27" s="14"/>
    </row>
    <row r="28" spans="1:8" ht="17.399999999999999" x14ac:dyDescent="0.25">
      <c r="A28" s="34" t="s">
        <v>13</v>
      </c>
      <c r="B28" s="35"/>
      <c r="C28" s="9">
        <v>283.31</v>
      </c>
      <c r="D28" s="29">
        <f t="shared" si="0"/>
        <v>11.804583333333333</v>
      </c>
      <c r="E28" s="10"/>
      <c r="F28" s="10"/>
      <c r="G28" s="9"/>
      <c r="H28" s="11"/>
    </row>
    <row r="29" spans="1:8" ht="17.399999999999999" x14ac:dyDescent="0.25">
      <c r="A29" s="32" t="s">
        <v>4</v>
      </c>
      <c r="B29" s="33"/>
      <c r="C29" s="12">
        <v>24</v>
      </c>
      <c r="D29" s="30" t="str">
        <f t="shared" si="0"/>
        <v/>
      </c>
      <c r="E29" s="13"/>
      <c r="F29" s="13"/>
      <c r="G29" s="12"/>
      <c r="H29" s="14"/>
    </row>
    <row r="30" spans="1:8" ht="17.399999999999999" x14ac:dyDescent="0.25">
      <c r="A30" s="34" t="s">
        <v>14</v>
      </c>
      <c r="B30" s="35"/>
      <c r="C30" s="9">
        <v>734.07</v>
      </c>
      <c r="D30" s="29">
        <f t="shared" si="0"/>
        <v>10.195416666666667</v>
      </c>
      <c r="E30" s="10"/>
      <c r="F30" s="10"/>
      <c r="G30" s="9"/>
      <c r="H30" s="11"/>
    </row>
    <row r="31" spans="1:8" ht="17.399999999999999" x14ac:dyDescent="0.25">
      <c r="A31" s="32" t="s">
        <v>4</v>
      </c>
      <c r="B31" s="33"/>
      <c r="C31" s="12">
        <v>72</v>
      </c>
      <c r="D31" s="30" t="str">
        <f t="shared" si="0"/>
        <v/>
      </c>
      <c r="E31" s="13"/>
      <c r="F31" s="13"/>
      <c r="G31" s="12"/>
      <c r="H31" s="14"/>
    </row>
    <row r="32" spans="1:8" ht="17.399999999999999" x14ac:dyDescent="0.25">
      <c r="A32" s="34" t="s">
        <v>15</v>
      </c>
      <c r="B32" s="35"/>
      <c r="C32" s="9">
        <v>244.69</v>
      </c>
      <c r="D32" s="29">
        <f t="shared" si="0"/>
        <v>10.195416666666667</v>
      </c>
      <c r="E32" s="10"/>
      <c r="F32" s="10"/>
      <c r="G32" s="9"/>
      <c r="H32" s="11"/>
    </row>
    <row r="33" spans="1:8" ht="17.399999999999999" x14ac:dyDescent="0.25">
      <c r="A33" s="32" t="s">
        <v>4</v>
      </c>
      <c r="B33" s="33"/>
      <c r="C33" s="12">
        <v>24</v>
      </c>
      <c r="D33" s="30" t="str">
        <f t="shared" si="0"/>
        <v/>
      </c>
      <c r="E33" s="13"/>
      <c r="F33" s="13"/>
      <c r="G33" s="12"/>
      <c r="H33" s="14"/>
    </row>
    <row r="34" spans="1:8" ht="17.399999999999999" x14ac:dyDescent="0.25">
      <c r="A34" s="34" t="s">
        <v>16</v>
      </c>
      <c r="B34" s="35"/>
      <c r="C34" s="9">
        <v>335.92</v>
      </c>
      <c r="D34" s="29">
        <f t="shared" si="0"/>
        <v>13.996666666666668</v>
      </c>
      <c r="E34" s="10"/>
      <c r="F34" s="10"/>
      <c r="G34" s="9"/>
      <c r="H34" s="11"/>
    </row>
    <row r="35" spans="1:8" ht="17.399999999999999" x14ac:dyDescent="0.25">
      <c r="A35" s="32" t="s">
        <v>4</v>
      </c>
      <c r="B35" s="33"/>
      <c r="C35" s="12">
        <v>24</v>
      </c>
      <c r="D35" s="30" t="str">
        <f t="shared" si="0"/>
        <v/>
      </c>
      <c r="E35" s="13"/>
      <c r="F35" s="13"/>
      <c r="G35" s="12"/>
      <c r="H35" s="14"/>
    </row>
    <row r="36" spans="1:8" ht="17.399999999999999" x14ac:dyDescent="0.25">
      <c r="A36" s="34" t="s">
        <v>17</v>
      </c>
      <c r="B36" s="35"/>
      <c r="C36" s="9">
        <v>335.92</v>
      </c>
      <c r="D36" s="29">
        <f t="shared" si="0"/>
        <v>13.996666666666668</v>
      </c>
      <c r="E36" s="10"/>
      <c r="F36" s="10"/>
      <c r="G36" s="9"/>
      <c r="H36" s="11"/>
    </row>
    <row r="37" spans="1:8" ht="17.399999999999999" x14ac:dyDescent="0.25">
      <c r="A37" s="32" t="s">
        <v>4</v>
      </c>
      <c r="B37" s="33"/>
      <c r="C37" s="12">
        <v>24</v>
      </c>
      <c r="D37" s="30" t="str">
        <f t="shared" si="0"/>
        <v/>
      </c>
      <c r="E37" s="13"/>
      <c r="F37" s="13"/>
      <c r="G37" s="12"/>
      <c r="H37" s="14"/>
    </row>
    <row r="38" spans="1:8" ht="17.399999999999999" x14ac:dyDescent="0.25">
      <c r="A38" s="34" t="s">
        <v>18</v>
      </c>
      <c r="B38" s="35"/>
      <c r="C38" s="9">
        <v>278.38</v>
      </c>
      <c r="D38" s="29">
        <f t="shared" si="0"/>
        <v>11.599166666666667</v>
      </c>
      <c r="E38" s="10"/>
      <c r="F38" s="10"/>
      <c r="G38" s="9"/>
      <c r="H38" s="11"/>
    </row>
    <row r="39" spans="1:8" ht="17.399999999999999" x14ac:dyDescent="0.25">
      <c r="A39" s="32" t="s">
        <v>4</v>
      </c>
      <c r="B39" s="33"/>
      <c r="C39" s="12">
        <v>24</v>
      </c>
      <c r="D39" s="30" t="str">
        <f t="shared" si="0"/>
        <v/>
      </c>
      <c r="E39" s="13"/>
      <c r="F39" s="13"/>
      <c r="G39" s="12"/>
      <c r="H39" s="14"/>
    </row>
    <row r="40" spans="1:8" ht="17.399999999999999" x14ac:dyDescent="0.25">
      <c r="A40" s="34" t="s">
        <v>19</v>
      </c>
      <c r="B40" s="35"/>
      <c r="C40" s="9">
        <v>367.02</v>
      </c>
      <c r="D40" s="29">
        <f t="shared" si="0"/>
        <v>10.195</v>
      </c>
      <c r="E40" s="10"/>
      <c r="F40" s="10"/>
      <c r="G40" s="9"/>
      <c r="H40" s="11"/>
    </row>
    <row r="41" spans="1:8" ht="17.399999999999999" x14ac:dyDescent="0.25">
      <c r="A41" s="32" t="s">
        <v>4</v>
      </c>
      <c r="B41" s="33"/>
      <c r="C41" s="12">
        <v>36</v>
      </c>
      <c r="D41" s="30" t="str">
        <f t="shared" si="0"/>
        <v/>
      </c>
      <c r="E41" s="13"/>
      <c r="F41" s="13"/>
      <c r="G41" s="12"/>
      <c r="H41" s="14"/>
    </row>
    <row r="42" spans="1:8" ht="17.399999999999999" x14ac:dyDescent="0.25">
      <c r="A42" s="34" t="s">
        <v>20</v>
      </c>
      <c r="B42" s="35"/>
      <c r="C42" s="9">
        <v>734.07</v>
      </c>
      <c r="D42" s="29">
        <f t="shared" si="0"/>
        <v>10.195416666666667</v>
      </c>
      <c r="E42" s="10"/>
      <c r="F42" s="10"/>
      <c r="G42" s="9"/>
      <c r="H42" s="11"/>
    </row>
    <row r="43" spans="1:8" ht="17.399999999999999" x14ac:dyDescent="0.25">
      <c r="A43" s="32" t="s">
        <v>4</v>
      </c>
      <c r="B43" s="33"/>
      <c r="C43" s="12">
        <v>72</v>
      </c>
      <c r="D43" s="30" t="str">
        <f t="shared" si="0"/>
        <v/>
      </c>
      <c r="E43" s="13"/>
      <c r="F43" s="13"/>
      <c r="G43" s="12"/>
      <c r="H43" s="14"/>
    </row>
    <row r="44" spans="1:8" ht="17.399999999999999" x14ac:dyDescent="0.25">
      <c r="A44" s="34" t="s">
        <v>21</v>
      </c>
      <c r="B44" s="35"/>
      <c r="C44" s="9">
        <v>367.02</v>
      </c>
      <c r="D44" s="29">
        <f t="shared" si="0"/>
        <v>10.195</v>
      </c>
      <c r="E44" s="10"/>
      <c r="F44" s="10"/>
      <c r="G44" s="9"/>
      <c r="H44" s="11"/>
    </row>
    <row r="45" spans="1:8" ht="17.399999999999999" x14ac:dyDescent="0.25">
      <c r="A45" s="32" t="s">
        <v>4</v>
      </c>
      <c r="B45" s="33"/>
      <c r="C45" s="12">
        <v>36</v>
      </c>
      <c r="D45" s="30" t="str">
        <f t="shared" si="0"/>
        <v/>
      </c>
      <c r="E45" s="13"/>
      <c r="F45" s="13"/>
      <c r="G45" s="12"/>
      <c r="H45" s="14"/>
    </row>
    <row r="46" spans="1:8" ht="17.399999999999999" x14ac:dyDescent="0.25">
      <c r="A46" s="34" t="s">
        <v>22</v>
      </c>
      <c r="B46" s="35"/>
      <c r="C46" s="9">
        <v>528.26</v>
      </c>
      <c r="D46" s="29">
        <f t="shared" si="0"/>
        <v>11.005416666666667</v>
      </c>
      <c r="E46" s="10"/>
      <c r="F46" s="10"/>
      <c r="G46" s="9"/>
      <c r="H46" s="11"/>
    </row>
    <row r="47" spans="1:8" ht="17.399999999999999" x14ac:dyDescent="0.25">
      <c r="A47" s="32" t="s">
        <v>4</v>
      </c>
      <c r="B47" s="33"/>
      <c r="C47" s="12">
        <v>48</v>
      </c>
      <c r="D47" s="30" t="str">
        <f t="shared" si="0"/>
        <v/>
      </c>
      <c r="E47" s="13"/>
      <c r="F47" s="13"/>
      <c r="G47" s="12"/>
      <c r="H47" s="14"/>
    </row>
    <row r="48" spans="1:8" ht="17.399999999999999" x14ac:dyDescent="0.25">
      <c r="A48" s="34" t="s">
        <v>23</v>
      </c>
      <c r="B48" s="35"/>
      <c r="C48" s="9">
        <v>287.97000000000003</v>
      </c>
      <c r="D48" s="29">
        <f t="shared" si="0"/>
        <v>11.998750000000001</v>
      </c>
      <c r="E48" s="10"/>
      <c r="F48" s="10"/>
      <c r="G48" s="9"/>
      <c r="H48" s="11"/>
    </row>
    <row r="49" spans="1:8" ht="17.399999999999999" x14ac:dyDescent="0.25">
      <c r="A49" s="32" t="s">
        <v>4</v>
      </c>
      <c r="B49" s="33"/>
      <c r="C49" s="12">
        <v>24</v>
      </c>
      <c r="D49" s="30" t="str">
        <f t="shared" si="0"/>
        <v/>
      </c>
      <c r="E49" s="13"/>
      <c r="F49" s="13"/>
      <c r="G49" s="12"/>
      <c r="H49" s="14"/>
    </row>
    <row r="50" spans="1:8" ht="17.399999999999999" x14ac:dyDescent="0.25">
      <c r="A50" s="34" t="s">
        <v>24</v>
      </c>
      <c r="B50" s="35"/>
      <c r="C50" s="9">
        <v>528.26</v>
      </c>
      <c r="D50" s="29">
        <f t="shared" si="0"/>
        <v>11.005416666666667</v>
      </c>
      <c r="E50" s="10"/>
      <c r="F50" s="10"/>
      <c r="G50" s="9"/>
      <c r="H50" s="11"/>
    </row>
    <row r="51" spans="1:8" ht="17.399999999999999" x14ac:dyDescent="0.25">
      <c r="A51" s="32" t="s">
        <v>4</v>
      </c>
      <c r="B51" s="33"/>
      <c r="C51" s="12">
        <v>48</v>
      </c>
      <c r="D51" s="30" t="str">
        <f t="shared" si="0"/>
        <v/>
      </c>
      <c r="E51" s="13"/>
      <c r="F51" s="13"/>
      <c r="G51" s="12"/>
      <c r="H51" s="14"/>
    </row>
    <row r="52" spans="1:8" ht="17.399999999999999" x14ac:dyDescent="0.25">
      <c r="A52" s="34" t="s">
        <v>25</v>
      </c>
      <c r="B52" s="35"/>
      <c r="C52" s="9">
        <v>528.26</v>
      </c>
      <c r="D52" s="29">
        <f t="shared" si="0"/>
        <v>11.005416666666667</v>
      </c>
      <c r="E52" s="10"/>
      <c r="F52" s="10"/>
      <c r="G52" s="9"/>
      <c r="H52" s="11"/>
    </row>
    <row r="53" spans="1:8" ht="17.399999999999999" x14ac:dyDescent="0.25">
      <c r="A53" s="32" t="s">
        <v>4</v>
      </c>
      <c r="B53" s="33"/>
      <c r="C53" s="12">
        <v>48</v>
      </c>
      <c r="D53" s="30" t="str">
        <f t="shared" si="0"/>
        <v/>
      </c>
      <c r="E53" s="13"/>
      <c r="F53" s="13"/>
      <c r="G53" s="12"/>
      <c r="H53" s="14"/>
    </row>
    <row r="54" spans="1:8" ht="17.399999999999999" x14ac:dyDescent="0.25">
      <c r="A54" s="34" t="s">
        <v>26</v>
      </c>
      <c r="B54" s="35"/>
      <c r="C54" s="9">
        <v>528.24</v>
      </c>
      <c r="D54" s="29">
        <f t="shared" si="0"/>
        <v>11.005000000000001</v>
      </c>
      <c r="E54" s="10"/>
      <c r="F54" s="10"/>
      <c r="G54" s="9"/>
      <c r="H54" s="11"/>
    </row>
    <row r="55" spans="1:8" ht="17.399999999999999" x14ac:dyDescent="0.25">
      <c r="A55" s="32" t="s">
        <v>4</v>
      </c>
      <c r="B55" s="33"/>
      <c r="C55" s="12">
        <v>48</v>
      </c>
      <c r="D55" s="30" t="str">
        <f t="shared" si="0"/>
        <v/>
      </c>
      <c r="E55" s="13"/>
      <c r="F55" s="13"/>
      <c r="G55" s="12"/>
      <c r="H55" s="14"/>
    </row>
    <row r="56" spans="1:8" ht="17.399999999999999" x14ac:dyDescent="0.25">
      <c r="A56" s="34" t="s">
        <v>27</v>
      </c>
      <c r="B56" s="35"/>
      <c r="C56" s="15">
        <v>1524.1</v>
      </c>
      <c r="D56" s="29">
        <f t="shared" si="0"/>
        <v>12.700833333333332</v>
      </c>
      <c r="E56" s="10"/>
      <c r="F56" s="10"/>
      <c r="G56" s="15"/>
      <c r="H56" s="11"/>
    </row>
    <row r="57" spans="1:8" ht="17.399999999999999" x14ac:dyDescent="0.25">
      <c r="A57" s="32" t="s">
        <v>4</v>
      </c>
      <c r="B57" s="33"/>
      <c r="C57" s="12">
        <v>120</v>
      </c>
      <c r="D57" s="30" t="str">
        <f t="shared" si="0"/>
        <v/>
      </c>
      <c r="E57" s="13"/>
      <c r="F57" s="13"/>
      <c r="G57" s="12"/>
      <c r="H57" s="14"/>
    </row>
    <row r="58" spans="1:8" ht="17.399999999999999" x14ac:dyDescent="0.25">
      <c r="A58" s="34" t="s">
        <v>28</v>
      </c>
      <c r="B58" s="35"/>
      <c r="C58" s="9">
        <v>379.21</v>
      </c>
      <c r="D58" s="29">
        <f t="shared" si="0"/>
        <v>15.800416666666665</v>
      </c>
      <c r="E58" s="10"/>
      <c r="F58" s="10"/>
      <c r="G58" s="9"/>
      <c r="H58" s="11"/>
    </row>
    <row r="59" spans="1:8" ht="17.399999999999999" x14ac:dyDescent="0.25">
      <c r="A59" s="32" t="s">
        <v>4</v>
      </c>
      <c r="B59" s="33"/>
      <c r="C59" s="12">
        <v>24</v>
      </c>
      <c r="D59" s="30" t="str">
        <f t="shared" si="0"/>
        <v/>
      </c>
      <c r="E59" s="13"/>
      <c r="F59" s="13"/>
      <c r="G59" s="12"/>
      <c r="H59" s="14"/>
    </row>
    <row r="60" spans="1:8" ht="17.399999999999999" x14ac:dyDescent="0.25">
      <c r="A60" s="34" t="s">
        <v>29</v>
      </c>
      <c r="B60" s="35"/>
      <c r="C60" s="9">
        <v>609.64</v>
      </c>
      <c r="D60" s="29">
        <f t="shared" si="0"/>
        <v>12.700833333333334</v>
      </c>
      <c r="E60" s="10"/>
      <c r="F60" s="10"/>
      <c r="G60" s="9"/>
      <c r="H60" s="11"/>
    </row>
    <row r="61" spans="1:8" ht="17.399999999999999" x14ac:dyDescent="0.25">
      <c r="A61" s="32" t="s">
        <v>4</v>
      </c>
      <c r="B61" s="33"/>
      <c r="C61" s="12">
        <v>48</v>
      </c>
      <c r="D61" s="30" t="str">
        <f t="shared" si="0"/>
        <v/>
      </c>
      <c r="E61" s="13"/>
      <c r="F61" s="13"/>
      <c r="G61" s="12"/>
      <c r="H61" s="14"/>
    </row>
    <row r="62" spans="1:8" ht="17.399999999999999" x14ac:dyDescent="0.25">
      <c r="A62" s="34" t="s">
        <v>30</v>
      </c>
      <c r="B62" s="35"/>
      <c r="C62" s="9">
        <v>264.13</v>
      </c>
      <c r="D62" s="29">
        <f t="shared" si="0"/>
        <v>11.005416666666667</v>
      </c>
      <c r="E62" s="10"/>
      <c r="F62" s="10"/>
      <c r="G62" s="9"/>
      <c r="H62" s="11"/>
    </row>
    <row r="63" spans="1:8" ht="17.399999999999999" x14ac:dyDescent="0.25">
      <c r="A63" s="32" t="s">
        <v>4</v>
      </c>
      <c r="B63" s="33"/>
      <c r="C63" s="12">
        <v>24</v>
      </c>
      <c r="D63" s="30" t="str">
        <f t="shared" si="0"/>
        <v/>
      </c>
      <c r="E63" s="13"/>
      <c r="F63" s="13"/>
      <c r="G63" s="12"/>
      <c r="H63" s="14"/>
    </row>
    <row r="64" spans="1:8" ht="17.399999999999999" x14ac:dyDescent="0.25">
      <c r="A64" s="34" t="s">
        <v>31</v>
      </c>
      <c r="B64" s="35"/>
      <c r="C64" s="15">
        <v>1080.0899999999999</v>
      </c>
      <c r="D64" s="29">
        <f t="shared" si="0"/>
        <v>15.001249999999999</v>
      </c>
      <c r="E64" s="10"/>
      <c r="F64" s="10"/>
      <c r="G64" s="15"/>
      <c r="H64" s="11"/>
    </row>
    <row r="65" spans="1:8" ht="17.399999999999999" x14ac:dyDescent="0.25">
      <c r="A65" s="32" t="s">
        <v>4</v>
      </c>
      <c r="B65" s="33"/>
      <c r="C65" s="12">
        <v>72</v>
      </c>
      <c r="D65" s="30" t="str">
        <f t="shared" si="0"/>
        <v/>
      </c>
      <c r="E65" s="13"/>
      <c r="F65" s="13"/>
      <c r="G65" s="12"/>
      <c r="H65" s="14"/>
    </row>
    <row r="66" spans="1:8" ht="17.399999999999999" x14ac:dyDescent="0.25">
      <c r="A66" s="34" t="s">
        <v>32</v>
      </c>
      <c r="B66" s="35"/>
      <c r="C66" s="15">
        <v>3697.82</v>
      </c>
      <c r="D66" s="29">
        <f t="shared" si="0"/>
        <v>11.005416666666667</v>
      </c>
      <c r="E66" s="10"/>
      <c r="F66" s="10"/>
      <c r="G66" s="15"/>
      <c r="H66" s="11"/>
    </row>
    <row r="67" spans="1:8" ht="17.399999999999999" x14ac:dyDescent="0.25">
      <c r="A67" s="32" t="s">
        <v>4</v>
      </c>
      <c r="B67" s="33"/>
      <c r="C67" s="12">
        <v>336</v>
      </c>
      <c r="D67" s="30" t="str">
        <f t="shared" si="0"/>
        <v/>
      </c>
      <c r="E67" s="13"/>
      <c r="F67" s="13"/>
      <c r="G67" s="12"/>
      <c r="H67" s="14"/>
    </row>
    <row r="68" spans="1:8" ht="17.399999999999999" x14ac:dyDescent="0.25">
      <c r="A68" s="34" t="s">
        <v>33</v>
      </c>
      <c r="B68" s="35"/>
      <c r="C68" s="9">
        <v>264.13</v>
      </c>
      <c r="D68" s="29">
        <f t="shared" si="0"/>
        <v>11.005416666666667</v>
      </c>
      <c r="E68" s="10"/>
      <c r="F68" s="10"/>
      <c r="G68" s="9"/>
      <c r="H68" s="11"/>
    </row>
    <row r="69" spans="1:8" ht="17.399999999999999" x14ac:dyDescent="0.25">
      <c r="A69" s="32" t="s">
        <v>4</v>
      </c>
      <c r="B69" s="33"/>
      <c r="C69" s="12">
        <v>24</v>
      </c>
      <c r="D69" s="30" t="str">
        <f t="shared" si="0"/>
        <v/>
      </c>
      <c r="E69" s="13"/>
      <c r="F69" s="13"/>
      <c r="G69" s="12"/>
      <c r="H69" s="14"/>
    </row>
    <row r="70" spans="1:8" ht="17.399999999999999" x14ac:dyDescent="0.25">
      <c r="A70" s="34" t="s">
        <v>34</v>
      </c>
      <c r="B70" s="35"/>
      <c r="C70" s="15">
        <v>1919.35</v>
      </c>
      <c r="D70" s="29">
        <f t="shared" si="0"/>
        <v>15.994583333333333</v>
      </c>
      <c r="E70" s="10"/>
      <c r="F70" s="10"/>
      <c r="G70" s="15"/>
      <c r="H70" s="11"/>
    </row>
    <row r="71" spans="1:8" ht="17.399999999999999" x14ac:dyDescent="0.25">
      <c r="A71" s="32" t="s">
        <v>4</v>
      </c>
      <c r="B71" s="33"/>
      <c r="C71" s="12">
        <v>120</v>
      </c>
      <c r="D71" s="30" t="str">
        <f t="shared" si="0"/>
        <v/>
      </c>
      <c r="E71" s="13"/>
      <c r="F71" s="13"/>
      <c r="G71" s="12"/>
      <c r="H71" s="14"/>
    </row>
    <row r="72" spans="1:8" ht="17.399999999999999" x14ac:dyDescent="0.25">
      <c r="A72" s="34" t="s">
        <v>35</v>
      </c>
      <c r="B72" s="35"/>
      <c r="C72" s="9">
        <v>287.98</v>
      </c>
      <c r="D72" s="29">
        <f t="shared" si="0"/>
        <v>11.999166666666667</v>
      </c>
      <c r="E72" s="10"/>
      <c r="F72" s="10"/>
      <c r="G72" s="9"/>
      <c r="H72" s="11"/>
    </row>
    <row r="73" spans="1:8" ht="17.399999999999999" x14ac:dyDescent="0.25">
      <c r="A73" s="32" t="s">
        <v>4</v>
      </c>
      <c r="B73" s="33"/>
      <c r="C73" s="12">
        <v>24</v>
      </c>
      <c r="D73" s="30" t="str">
        <f t="shared" si="0"/>
        <v/>
      </c>
      <c r="E73" s="13"/>
      <c r="F73" s="13"/>
      <c r="G73" s="12"/>
      <c r="H73" s="14"/>
    </row>
    <row r="74" spans="1:8" ht="17.399999999999999" x14ac:dyDescent="0.25">
      <c r="A74" s="34" t="s">
        <v>36</v>
      </c>
      <c r="B74" s="35"/>
      <c r="C74" s="9">
        <v>287.98</v>
      </c>
      <c r="D74" s="29">
        <f t="shared" ref="D74:D137" si="1">IF($A75="Кол-во",IFERROR($C74/$C75,""),"")</f>
        <v>11.999166666666667</v>
      </c>
      <c r="E74" s="10"/>
      <c r="F74" s="10"/>
      <c r="G74" s="9"/>
      <c r="H74" s="11"/>
    </row>
    <row r="75" spans="1:8" ht="17.399999999999999" x14ac:dyDescent="0.25">
      <c r="A75" s="32" t="s">
        <v>4</v>
      </c>
      <c r="B75" s="33"/>
      <c r="C75" s="12">
        <v>24</v>
      </c>
      <c r="D75" s="30" t="str">
        <f t="shared" si="1"/>
        <v/>
      </c>
      <c r="E75" s="13"/>
      <c r="F75" s="13"/>
      <c r="G75" s="12"/>
      <c r="H75" s="14"/>
    </row>
    <row r="76" spans="1:8" ht="17.399999999999999" x14ac:dyDescent="0.25">
      <c r="A76" s="34" t="s">
        <v>37</v>
      </c>
      <c r="B76" s="35"/>
      <c r="C76" s="9">
        <v>185.98</v>
      </c>
      <c r="D76" s="29">
        <f t="shared" si="1"/>
        <v>15.498333333333333</v>
      </c>
      <c r="E76" s="10"/>
      <c r="F76" s="10"/>
      <c r="G76" s="9"/>
      <c r="H76" s="11"/>
    </row>
    <row r="77" spans="1:8" ht="17.399999999999999" x14ac:dyDescent="0.25">
      <c r="A77" s="32" t="s">
        <v>4</v>
      </c>
      <c r="B77" s="33"/>
      <c r="C77" s="12">
        <v>12</v>
      </c>
      <c r="D77" s="30" t="str">
        <f t="shared" si="1"/>
        <v/>
      </c>
      <c r="E77" s="13"/>
      <c r="F77" s="13"/>
      <c r="G77" s="12"/>
      <c r="H77" s="14"/>
    </row>
    <row r="78" spans="1:8" ht="17.399999999999999" x14ac:dyDescent="0.25">
      <c r="A78" s="34" t="s">
        <v>38</v>
      </c>
      <c r="B78" s="35"/>
      <c r="C78" s="15">
        <v>1151.8800000000001</v>
      </c>
      <c r="D78" s="29">
        <f t="shared" si="1"/>
        <v>11.998750000000001</v>
      </c>
      <c r="E78" s="10"/>
      <c r="F78" s="10"/>
      <c r="G78" s="15"/>
      <c r="H78" s="11"/>
    </row>
    <row r="79" spans="1:8" ht="17.399999999999999" x14ac:dyDescent="0.25">
      <c r="A79" s="32" t="s">
        <v>4</v>
      </c>
      <c r="B79" s="33"/>
      <c r="C79" s="12">
        <v>96</v>
      </c>
      <c r="D79" s="30" t="str">
        <f t="shared" si="1"/>
        <v/>
      </c>
      <c r="E79" s="13"/>
      <c r="F79" s="13"/>
      <c r="G79" s="12"/>
      <c r="H79" s="14"/>
    </row>
    <row r="80" spans="1:8" ht="17.399999999999999" x14ac:dyDescent="0.25">
      <c r="A80" s="34" t="s">
        <v>39</v>
      </c>
      <c r="B80" s="35"/>
      <c r="C80" s="9">
        <v>264.13</v>
      </c>
      <c r="D80" s="29">
        <f t="shared" si="1"/>
        <v>11.005416666666667</v>
      </c>
      <c r="E80" s="10"/>
      <c r="F80" s="10"/>
      <c r="G80" s="9"/>
      <c r="H80" s="11"/>
    </row>
    <row r="81" spans="1:8" ht="17.399999999999999" x14ac:dyDescent="0.25">
      <c r="A81" s="32" t="s">
        <v>4</v>
      </c>
      <c r="B81" s="33"/>
      <c r="C81" s="12">
        <v>24</v>
      </c>
      <c r="D81" s="30" t="str">
        <f t="shared" si="1"/>
        <v/>
      </c>
      <c r="E81" s="13"/>
      <c r="F81" s="13"/>
      <c r="G81" s="12"/>
      <c r="H81" s="14"/>
    </row>
    <row r="82" spans="1:8" ht="17.399999999999999" x14ac:dyDescent="0.25">
      <c r="A82" s="34" t="s">
        <v>40</v>
      </c>
      <c r="B82" s="35"/>
      <c r="C82" s="9">
        <v>287.97000000000003</v>
      </c>
      <c r="D82" s="29">
        <f t="shared" si="1"/>
        <v>11.998750000000001</v>
      </c>
      <c r="E82" s="10"/>
      <c r="F82" s="10"/>
      <c r="G82" s="9"/>
      <c r="H82" s="11"/>
    </row>
    <row r="83" spans="1:8" ht="17.399999999999999" x14ac:dyDescent="0.25">
      <c r="A83" s="32" t="s">
        <v>4</v>
      </c>
      <c r="B83" s="33"/>
      <c r="C83" s="12">
        <v>24</v>
      </c>
      <c r="D83" s="30" t="str">
        <f t="shared" si="1"/>
        <v/>
      </c>
      <c r="E83" s="13"/>
      <c r="F83" s="13"/>
      <c r="G83" s="12"/>
      <c r="H83" s="14"/>
    </row>
    <row r="84" spans="1:8" ht="17.399999999999999" x14ac:dyDescent="0.25">
      <c r="A84" s="34" t="s">
        <v>41</v>
      </c>
      <c r="B84" s="35"/>
      <c r="C84" s="15">
        <v>1320.65</v>
      </c>
      <c r="D84" s="29">
        <f t="shared" si="1"/>
        <v>11.005416666666667</v>
      </c>
      <c r="E84" s="10"/>
      <c r="F84" s="10"/>
      <c r="G84" s="15"/>
      <c r="H84" s="11"/>
    </row>
    <row r="85" spans="1:8" ht="17.399999999999999" x14ac:dyDescent="0.25">
      <c r="A85" s="32" t="s">
        <v>4</v>
      </c>
      <c r="B85" s="33"/>
      <c r="C85" s="12">
        <v>120</v>
      </c>
      <c r="D85" s="30" t="str">
        <f t="shared" si="1"/>
        <v/>
      </c>
      <c r="E85" s="13"/>
      <c r="F85" s="13"/>
      <c r="G85" s="12"/>
      <c r="H85" s="14"/>
    </row>
    <row r="86" spans="1:8" ht="17.399999999999999" x14ac:dyDescent="0.25">
      <c r="A86" s="34" t="s">
        <v>42</v>
      </c>
      <c r="B86" s="35"/>
      <c r="C86" s="9">
        <v>635.70000000000005</v>
      </c>
      <c r="D86" s="29">
        <f t="shared" si="1"/>
        <v>10.595000000000001</v>
      </c>
      <c r="E86" s="10"/>
      <c r="F86" s="10"/>
      <c r="G86" s="9"/>
      <c r="H86" s="11"/>
    </row>
    <row r="87" spans="1:8" ht="17.399999999999999" x14ac:dyDescent="0.25">
      <c r="A87" s="32" t="s">
        <v>4</v>
      </c>
      <c r="B87" s="33"/>
      <c r="C87" s="12">
        <v>60</v>
      </c>
      <c r="D87" s="30" t="str">
        <f t="shared" si="1"/>
        <v/>
      </c>
      <c r="E87" s="13"/>
      <c r="F87" s="13"/>
      <c r="G87" s="12"/>
      <c r="H87" s="14"/>
    </row>
    <row r="88" spans="1:8" ht="17.399999999999999" x14ac:dyDescent="0.25">
      <c r="A88" s="34" t="s">
        <v>43</v>
      </c>
      <c r="B88" s="35"/>
      <c r="C88" s="9">
        <v>424.95</v>
      </c>
      <c r="D88" s="29">
        <f t="shared" si="1"/>
        <v>11.804166666666667</v>
      </c>
      <c r="E88" s="10"/>
      <c r="F88" s="10"/>
      <c r="G88" s="9"/>
      <c r="H88" s="11"/>
    </row>
    <row r="89" spans="1:8" ht="17.399999999999999" x14ac:dyDescent="0.25">
      <c r="A89" s="32" t="s">
        <v>4</v>
      </c>
      <c r="B89" s="33"/>
      <c r="C89" s="12">
        <v>36</v>
      </c>
      <c r="D89" s="30" t="str">
        <f t="shared" si="1"/>
        <v/>
      </c>
      <c r="E89" s="13"/>
      <c r="F89" s="13"/>
      <c r="G89" s="12"/>
      <c r="H89" s="14"/>
    </row>
    <row r="90" spans="1:8" ht="17.399999999999999" x14ac:dyDescent="0.25">
      <c r="A90" s="34" t="s">
        <v>44</v>
      </c>
      <c r="B90" s="35"/>
      <c r="C90" s="15">
        <v>2288.52</v>
      </c>
      <c r="D90" s="29">
        <f t="shared" si="1"/>
        <v>10.595000000000001</v>
      </c>
      <c r="E90" s="10"/>
      <c r="F90" s="10"/>
      <c r="G90" s="15"/>
      <c r="H90" s="11"/>
    </row>
    <row r="91" spans="1:8" ht="17.399999999999999" x14ac:dyDescent="0.25">
      <c r="A91" s="32" t="s">
        <v>4</v>
      </c>
      <c r="B91" s="33"/>
      <c r="C91" s="12">
        <v>216</v>
      </c>
      <c r="D91" s="30" t="str">
        <f t="shared" si="1"/>
        <v/>
      </c>
      <c r="E91" s="13"/>
      <c r="F91" s="13"/>
      <c r="G91" s="12"/>
      <c r="H91" s="14"/>
    </row>
    <row r="92" spans="1:8" ht="17.399999999999999" x14ac:dyDescent="0.25">
      <c r="A92" s="34" t="s">
        <v>45</v>
      </c>
      <c r="B92" s="35"/>
      <c r="C92" s="15">
        <v>1325.04</v>
      </c>
      <c r="D92" s="29">
        <f t="shared" si="1"/>
        <v>18.403333333333332</v>
      </c>
      <c r="E92" s="10"/>
      <c r="F92" s="10"/>
      <c r="G92" s="15"/>
      <c r="H92" s="11"/>
    </row>
    <row r="93" spans="1:8" ht="17.399999999999999" x14ac:dyDescent="0.25">
      <c r="A93" s="32" t="s">
        <v>4</v>
      </c>
      <c r="B93" s="33"/>
      <c r="C93" s="12">
        <v>72</v>
      </c>
      <c r="D93" s="30" t="str">
        <f t="shared" si="1"/>
        <v/>
      </c>
      <c r="E93" s="13"/>
      <c r="F93" s="13"/>
      <c r="G93" s="12"/>
      <c r="H93" s="14"/>
    </row>
    <row r="94" spans="1:8" ht="17.399999999999999" x14ac:dyDescent="0.25">
      <c r="A94" s="34" t="s">
        <v>46</v>
      </c>
      <c r="B94" s="35"/>
      <c r="C94" s="15">
        <v>1151.8800000000001</v>
      </c>
      <c r="D94" s="29">
        <f t="shared" si="1"/>
        <v>11.998750000000001</v>
      </c>
      <c r="E94" s="10"/>
      <c r="F94" s="10"/>
      <c r="G94" s="15"/>
      <c r="H94" s="11"/>
    </row>
    <row r="95" spans="1:8" ht="17.399999999999999" x14ac:dyDescent="0.25">
      <c r="A95" s="32" t="s">
        <v>4</v>
      </c>
      <c r="B95" s="33"/>
      <c r="C95" s="12">
        <v>96</v>
      </c>
      <c r="D95" s="30" t="str">
        <f t="shared" si="1"/>
        <v/>
      </c>
      <c r="E95" s="13"/>
      <c r="F95" s="13"/>
      <c r="G95" s="12"/>
      <c r="H95" s="14"/>
    </row>
    <row r="96" spans="1:8" ht="17.399999999999999" x14ac:dyDescent="0.25">
      <c r="A96" s="34" t="s">
        <v>47</v>
      </c>
      <c r="B96" s="35"/>
      <c r="C96" s="9">
        <v>724.82</v>
      </c>
      <c r="D96" s="29">
        <f t="shared" si="1"/>
        <v>103.5457142857143</v>
      </c>
      <c r="E96" s="10"/>
      <c r="F96" s="10"/>
      <c r="G96" s="9"/>
      <c r="H96" s="11"/>
    </row>
    <row r="97" spans="1:8" ht="17.399999999999999" x14ac:dyDescent="0.25">
      <c r="A97" s="32" t="s">
        <v>4</v>
      </c>
      <c r="B97" s="33"/>
      <c r="C97" s="12">
        <v>7</v>
      </c>
      <c r="D97" s="30" t="str">
        <f t="shared" si="1"/>
        <v/>
      </c>
      <c r="E97" s="13"/>
      <c r="F97" s="13"/>
      <c r="G97" s="12"/>
      <c r="H97" s="14"/>
    </row>
    <row r="98" spans="1:8" ht="17.399999999999999" x14ac:dyDescent="0.25">
      <c r="A98" s="34" t="s">
        <v>48</v>
      </c>
      <c r="B98" s="35"/>
      <c r="C98" s="9">
        <v>105</v>
      </c>
      <c r="D98" s="29">
        <f t="shared" si="1"/>
        <v>0.7</v>
      </c>
      <c r="E98" s="10"/>
      <c r="F98" s="10"/>
      <c r="G98" s="9"/>
      <c r="H98" s="11"/>
    </row>
    <row r="99" spans="1:8" ht="17.399999999999999" x14ac:dyDescent="0.25">
      <c r="A99" s="32" t="s">
        <v>4</v>
      </c>
      <c r="B99" s="33"/>
      <c r="C99" s="12">
        <v>150</v>
      </c>
      <c r="D99" s="30" t="str">
        <f t="shared" si="1"/>
        <v/>
      </c>
      <c r="E99" s="13"/>
      <c r="F99" s="13"/>
      <c r="G99" s="12"/>
      <c r="H99" s="14"/>
    </row>
    <row r="100" spans="1:8" ht="17.399999999999999" x14ac:dyDescent="0.25">
      <c r="A100" s="34" t="s">
        <v>49</v>
      </c>
      <c r="B100" s="35"/>
      <c r="C100" s="15">
        <v>4039.2</v>
      </c>
      <c r="D100" s="29">
        <f t="shared" si="1"/>
        <v>20.195999999999998</v>
      </c>
      <c r="E100" s="10"/>
      <c r="F100" s="10"/>
      <c r="G100" s="15"/>
      <c r="H100" s="11"/>
    </row>
    <row r="101" spans="1:8" ht="17.399999999999999" x14ac:dyDescent="0.25">
      <c r="A101" s="32" t="s">
        <v>4</v>
      </c>
      <c r="B101" s="33"/>
      <c r="C101" s="12">
        <v>200</v>
      </c>
      <c r="D101" s="30" t="str">
        <f t="shared" si="1"/>
        <v/>
      </c>
      <c r="E101" s="13"/>
      <c r="F101" s="13"/>
      <c r="G101" s="12"/>
      <c r="H101" s="14"/>
    </row>
    <row r="102" spans="1:8" ht="17.399999999999999" x14ac:dyDescent="0.25">
      <c r="A102" s="34" t="s">
        <v>50</v>
      </c>
      <c r="B102" s="35"/>
      <c r="C102" s="9">
        <v>37.799999999999997</v>
      </c>
      <c r="D102" s="29">
        <f t="shared" si="1"/>
        <v>3.5999999999999997E-2</v>
      </c>
      <c r="E102" s="10"/>
      <c r="F102" s="10"/>
      <c r="G102" s="9"/>
      <c r="H102" s="11"/>
    </row>
    <row r="103" spans="1:8" ht="17.399999999999999" x14ac:dyDescent="0.25">
      <c r="A103" s="32" t="s">
        <v>4</v>
      </c>
      <c r="B103" s="33"/>
      <c r="C103" s="16">
        <v>1050</v>
      </c>
      <c r="D103" s="30" t="str">
        <f t="shared" si="1"/>
        <v/>
      </c>
      <c r="E103" s="13"/>
      <c r="F103" s="13"/>
      <c r="G103" s="16"/>
      <c r="H103" s="14"/>
    </row>
    <row r="104" spans="1:8" ht="17.399999999999999" x14ac:dyDescent="0.25">
      <c r="A104" s="34" t="s">
        <v>51</v>
      </c>
      <c r="B104" s="35"/>
      <c r="C104" s="9">
        <v>58.34</v>
      </c>
      <c r="D104" s="29">
        <f t="shared" si="1"/>
        <v>0.19446666666666668</v>
      </c>
      <c r="E104" s="10"/>
      <c r="F104" s="10"/>
      <c r="G104" s="9"/>
      <c r="H104" s="11"/>
    </row>
    <row r="105" spans="1:8" ht="17.399999999999999" x14ac:dyDescent="0.25">
      <c r="A105" s="32" t="s">
        <v>4</v>
      </c>
      <c r="B105" s="33"/>
      <c r="C105" s="12">
        <v>300</v>
      </c>
      <c r="D105" s="30" t="str">
        <f t="shared" si="1"/>
        <v/>
      </c>
      <c r="E105" s="13"/>
      <c r="F105" s="13"/>
      <c r="G105" s="12"/>
      <c r="H105" s="14"/>
    </row>
    <row r="106" spans="1:8" ht="17.399999999999999" x14ac:dyDescent="0.25">
      <c r="A106" s="34" t="s">
        <v>52</v>
      </c>
      <c r="B106" s="35"/>
      <c r="C106" s="15">
        <v>1142.5</v>
      </c>
      <c r="D106" s="29">
        <f t="shared" si="1"/>
        <v>23.316326530612244</v>
      </c>
      <c r="E106" s="10"/>
      <c r="F106" s="10"/>
      <c r="G106" s="15"/>
      <c r="H106" s="11"/>
    </row>
    <row r="107" spans="1:8" ht="17.399999999999999" x14ac:dyDescent="0.25">
      <c r="A107" s="32" t="s">
        <v>4</v>
      </c>
      <c r="B107" s="33"/>
      <c r="C107" s="12">
        <v>49</v>
      </c>
      <c r="D107" s="30" t="str">
        <f t="shared" si="1"/>
        <v/>
      </c>
      <c r="E107" s="13"/>
      <c r="F107" s="13"/>
      <c r="G107" s="12"/>
      <c r="H107" s="14"/>
    </row>
    <row r="108" spans="1:8" ht="17.399999999999999" x14ac:dyDescent="0.25">
      <c r="A108" s="34" t="s">
        <v>53</v>
      </c>
      <c r="B108" s="35"/>
      <c r="C108" s="15">
        <v>3308.8</v>
      </c>
      <c r="D108" s="29">
        <f t="shared" si="1"/>
        <v>1.4080000000000001</v>
      </c>
      <c r="E108" s="10"/>
      <c r="F108" s="10"/>
      <c r="G108" s="15"/>
      <c r="H108" s="11"/>
    </row>
    <row r="109" spans="1:8" ht="17.399999999999999" x14ac:dyDescent="0.25">
      <c r="A109" s="32" t="s">
        <v>4</v>
      </c>
      <c r="B109" s="33"/>
      <c r="C109" s="16">
        <v>2350</v>
      </c>
      <c r="D109" s="30" t="str">
        <f t="shared" si="1"/>
        <v/>
      </c>
      <c r="E109" s="13"/>
      <c r="F109" s="13"/>
      <c r="G109" s="16"/>
      <c r="H109" s="14"/>
    </row>
    <row r="110" spans="1:8" ht="17.399999999999999" x14ac:dyDescent="0.25">
      <c r="A110" s="34" t="s">
        <v>54</v>
      </c>
      <c r="B110" s="35"/>
      <c r="C110" s="9">
        <v>26.76</v>
      </c>
      <c r="D110" s="29">
        <f t="shared" si="1"/>
        <v>0.1338</v>
      </c>
      <c r="E110" s="10"/>
      <c r="F110" s="10"/>
      <c r="G110" s="9"/>
      <c r="H110" s="11"/>
    </row>
    <row r="111" spans="1:8" ht="17.399999999999999" x14ac:dyDescent="0.25">
      <c r="A111" s="32" t="s">
        <v>4</v>
      </c>
      <c r="B111" s="33"/>
      <c r="C111" s="12">
        <v>200</v>
      </c>
      <c r="D111" s="30" t="str">
        <f t="shared" si="1"/>
        <v/>
      </c>
      <c r="E111" s="13"/>
      <c r="F111" s="13"/>
      <c r="G111" s="12"/>
      <c r="H111" s="14"/>
    </row>
    <row r="112" spans="1:8" ht="17.399999999999999" x14ac:dyDescent="0.25">
      <c r="A112" s="34" t="s">
        <v>55</v>
      </c>
      <c r="B112" s="35"/>
      <c r="C112" s="9">
        <v>42.06</v>
      </c>
      <c r="D112" s="29">
        <f t="shared" si="1"/>
        <v>0.1106842105263158</v>
      </c>
      <c r="E112" s="10"/>
      <c r="F112" s="10"/>
      <c r="G112" s="9"/>
      <c r="H112" s="11"/>
    </row>
    <row r="113" spans="1:8" ht="17.399999999999999" x14ac:dyDescent="0.25">
      <c r="A113" s="32" t="s">
        <v>4</v>
      </c>
      <c r="B113" s="33"/>
      <c r="C113" s="12">
        <v>380</v>
      </c>
      <c r="D113" s="30" t="str">
        <f t="shared" si="1"/>
        <v/>
      </c>
      <c r="E113" s="13"/>
      <c r="F113" s="13"/>
      <c r="G113" s="12"/>
      <c r="H113" s="14"/>
    </row>
    <row r="114" spans="1:8" ht="17.399999999999999" x14ac:dyDescent="0.25">
      <c r="A114" s="34" t="s">
        <v>56</v>
      </c>
      <c r="B114" s="35"/>
      <c r="C114" s="9">
        <v>51.66</v>
      </c>
      <c r="D114" s="29">
        <f t="shared" si="1"/>
        <v>0.34439999999999998</v>
      </c>
      <c r="E114" s="10"/>
      <c r="F114" s="10"/>
      <c r="G114" s="9"/>
      <c r="H114" s="11"/>
    </row>
    <row r="115" spans="1:8" ht="17.399999999999999" x14ac:dyDescent="0.25">
      <c r="A115" s="32" t="s">
        <v>4</v>
      </c>
      <c r="B115" s="33"/>
      <c r="C115" s="12">
        <v>150</v>
      </c>
      <c r="D115" s="30" t="str">
        <f t="shared" si="1"/>
        <v/>
      </c>
      <c r="E115" s="13"/>
      <c r="F115" s="13"/>
      <c r="G115" s="12"/>
      <c r="H115" s="14"/>
    </row>
    <row r="116" spans="1:8" ht="17.399999999999999" x14ac:dyDescent="0.25">
      <c r="A116" s="34" t="s">
        <v>57</v>
      </c>
      <c r="B116" s="35"/>
      <c r="C116" s="9">
        <v>76.8</v>
      </c>
      <c r="D116" s="29">
        <f t="shared" si="1"/>
        <v>0.32</v>
      </c>
      <c r="E116" s="10"/>
      <c r="F116" s="10"/>
      <c r="G116" s="9"/>
      <c r="H116" s="11"/>
    </row>
    <row r="117" spans="1:8" ht="17.399999999999999" x14ac:dyDescent="0.25">
      <c r="A117" s="32" t="s">
        <v>4</v>
      </c>
      <c r="B117" s="33"/>
      <c r="C117" s="12">
        <v>240</v>
      </c>
      <c r="D117" s="30" t="str">
        <f t="shared" si="1"/>
        <v/>
      </c>
      <c r="E117" s="13"/>
      <c r="F117" s="13"/>
      <c r="G117" s="12"/>
      <c r="H117" s="14"/>
    </row>
    <row r="118" spans="1:8" ht="17.399999999999999" x14ac:dyDescent="0.25">
      <c r="A118" s="34" t="s">
        <v>58</v>
      </c>
      <c r="B118" s="35"/>
      <c r="C118" s="15">
        <v>2275.42</v>
      </c>
      <c r="D118" s="29">
        <f t="shared" si="1"/>
        <v>1.2366413043478262</v>
      </c>
      <c r="E118" s="10"/>
      <c r="F118" s="10"/>
      <c r="G118" s="15"/>
      <c r="H118" s="11"/>
    </row>
    <row r="119" spans="1:8" ht="17.399999999999999" x14ac:dyDescent="0.25">
      <c r="A119" s="32" t="s">
        <v>4</v>
      </c>
      <c r="B119" s="33"/>
      <c r="C119" s="16">
        <v>1840</v>
      </c>
      <c r="D119" s="30" t="str">
        <f t="shared" si="1"/>
        <v/>
      </c>
      <c r="E119" s="13"/>
      <c r="F119" s="13"/>
      <c r="G119" s="16"/>
      <c r="H119" s="14"/>
    </row>
    <row r="120" spans="1:8" ht="17.399999999999999" x14ac:dyDescent="0.25">
      <c r="A120" s="34" t="s">
        <v>59</v>
      </c>
      <c r="B120" s="35"/>
      <c r="C120" s="15">
        <v>180254.65</v>
      </c>
      <c r="D120" s="29">
        <f t="shared" si="1"/>
        <v>6932.8711538461539</v>
      </c>
      <c r="E120" s="10"/>
      <c r="F120" s="10"/>
      <c r="G120" s="15"/>
      <c r="H120" s="11"/>
    </row>
    <row r="121" spans="1:8" ht="17.399999999999999" x14ac:dyDescent="0.25">
      <c r="A121" s="32" t="s">
        <v>4</v>
      </c>
      <c r="B121" s="33"/>
      <c r="C121" s="12">
        <v>26</v>
      </c>
      <c r="D121" s="30" t="str">
        <f t="shared" si="1"/>
        <v/>
      </c>
      <c r="E121" s="13"/>
      <c r="F121" s="13"/>
      <c r="G121" s="12"/>
      <c r="H121" s="14"/>
    </row>
    <row r="122" spans="1:8" ht="17.399999999999999" x14ac:dyDescent="0.25">
      <c r="A122" s="34" t="s">
        <v>60</v>
      </c>
      <c r="B122" s="35"/>
      <c r="C122" s="15">
        <v>20346.009999999998</v>
      </c>
      <c r="D122" s="29">
        <f t="shared" si="1"/>
        <v>205.51525252525252</v>
      </c>
      <c r="E122" s="10"/>
      <c r="F122" s="10"/>
      <c r="G122" s="15"/>
      <c r="H122" s="11"/>
    </row>
    <row r="123" spans="1:8" ht="17.399999999999999" x14ac:dyDescent="0.25">
      <c r="A123" s="32" t="s">
        <v>4</v>
      </c>
      <c r="B123" s="33"/>
      <c r="C123" s="12">
        <v>99</v>
      </c>
      <c r="D123" s="30" t="str">
        <f t="shared" si="1"/>
        <v/>
      </c>
      <c r="E123" s="13"/>
      <c r="F123" s="13"/>
      <c r="G123" s="12"/>
      <c r="H123" s="14"/>
    </row>
    <row r="124" spans="1:8" ht="17.399999999999999" x14ac:dyDescent="0.25">
      <c r="A124" s="34" t="s">
        <v>61</v>
      </c>
      <c r="B124" s="35"/>
      <c r="C124" s="15">
        <v>29659.69</v>
      </c>
      <c r="D124" s="29">
        <f t="shared" si="1"/>
        <v>40.353319727891154</v>
      </c>
      <c r="E124" s="10"/>
      <c r="F124" s="10"/>
      <c r="G124" s="15"/>
      <c r="H124" s="11"/>
    </row>
    <row r="125" spans="1:8" ht="17.399999999999999" x14ac:dyDescent="0.25">
      <c r="A125" s="32" t="s">
        <v>4</v>
      </c>
      <c r="B125" s="33"/>
      <c r="C125" s="12">
        <v>735</v>
      </c>
      <c r="D125" s="30" t="str">
        <f t="shared" si="1"/>
        <v/>
      </c>
      <c r="E125" s="13"/>
      <c r="F125" s="13"/>
      <c r="G125" s="12"/>
      <c r="H125" s="14"/>
    </row>
    <row r="126" spans="1:8" ht="17.399999999999999" x14ac:dyDescent="0.25">
      <c r="A126" s="34" t="s">
        <v>62</v>
      </c>
      <c r="B126" s="35"/>
      <c r="C126" s="15">
        <v>1287.49</v>
      </c>
      <c r="D126" s="29">
        <f t="shared" si="1"/>
        <v>16.093624999999999</v>
      </c>
      <c r="E126" s="10"/>
      <c r="F126" s="10"/>
      <c r="G126" s="15"/>
      <c r="H126" s="11"/>
    </row>
    <row r="127" spans="1:8" ht="17.399999999999999" x14ac:dyDescent="0.25">
      <c r="A127" s="32" t="s">
        <v>4</v>
      </c>
      <c r="B127" s="33"/>
      <c r="C127" s="12">
        <v>80</v>
      </c>
      <c r="D127" s="30" t="str">
        <f t="shared" si="1"/>
        <v/>
      </c>
      <c r="E127" s="13"/>
      <c r="F127" s="13"/>
      <c r="G127" s="12"/>
      <c r="H127" s="14"/>
    </row>
    <row r="128" spans="1:8" ht="17.399999999999999" x14ac:dyDescent="0.25">
      <c r="A128" s="34" t="s">
        <v>63</v>
      </c>
      <c r="B128" s="35"/>
      <c r="C128" s="9">
        <v>200.72</v>
      </c>
      <c r="D128" s="29">
        <f t="shared" si="1"/>
        <v>2.8674285714285714</v>
      </c>
      <c r="E128" s="10"/>
      <c r="F128" s="10"/>
      <c r="G128" s="9"/>
      <c r="H128" s="11"/>
    </row>
    <row r="129" spans="1:8" ht="17.399999999999999" x14ac:dyDescent="0.25">
      <c r="A129" s="32" t="s">
        <v>4</v>
      </c>
      <c r="B129" s="33"/>
      <c r="C129" s="12">
        <v>70</v>
      </c>
      <c r="D129" s="30" t="str">
        <f t="shared" si="1"/>
        <v/>
      </c>
      <c r="E129" s="13"/>
      <c r="F129" s="13"/>
      <c r="G129" s="12"/>
      <c r="H129" s="14"/>
    </row>
    <row r="130" spans="1:8" ht="17.399999999999999" x14ac:dyDescent="0.25">
      <c r="A130" s="34" t="s">
        <v>64</v>
      </c>
      <c r="B130" s="35"/>
      <c r="C130" s="9">
        <v>573.4</v>
      </c>
      <c r="D130" s="29">
        <f t="shared" si="1"/>
        <v>5.734</v>
      </c>
      <c r="E130" s="10"/>
      <c r="F130" s="10"/>
      <c r="G130" s="9"/>
      <c r="H130" s="11"/>
    </row>
    <row r="131" spans="1:8" ht="17.399999999999999" x14ac:dyDescent="0.25">
      <c r="A131" s="32" t="s">
        <v>4</v>
      </c>
      <c r="B131" s="33"/>
      <c r="C131" s="12">
        <v>100</v>
      </c>
      <c r="D131" s="30" t="str">
        <f t="shared" si="1"/>
        <v/>
      </c>
      <c r="E131" s="13"/>
      <c r="F131" s="13"/>
      <c r="G131" s="12"/>
      <c r="H131" s="14"/>
    </row>
    <row r="132" spans="1:8" ht="17.399999999999999" x14ac:dyDescent="0.25">
      <c r="A132" s="34" t="s">
        <v>65</v>
      </c>
      <c r="B132" s="35"/>
      <c r="C132" s="15">
        <v>3982.4</v>
      </c>
      <c r="D132" s="29">
        <f t="shared" si="1"/>
        <v>3.4331034482758621E-2</v>
      </c>
      <c r="E132" s="10"/>
      <c r="F132" s="10"/>
      <c r="G132" s="15"/>
      <c r="H132" s="11"/>
    </row>
    <row r="133" spans="1:8" ht="17.399999999999999" x14ac:dyDescent="0.25">
      <c r="A133" s="32" t="s">
        <v>4</v>
      </c>
      <c r="B133" s="33"/>
      <c r="C133" s="16">
        <v>116000</v>
      </c>
      <c r="D133" s="30" t="str">
        <f t="shared" si="1"/>
        <v/>
      </c>
      <c r="E133" s="13"/>
      <c r="F133" s="13"/>
      <c r="G133" s="16"/>
      <c r="H133" s="14"/>
    </row>
    <row r="134" spans="1:8" ht="17.399999999999999" x14ac:dyDescent="0.25">
      <c r="A134" s="34" t="s">
        <v>66</v>
      </c>
      <c r="B134" s="35"/>
      <c r="C134" s="9">
        <v>288.14999999999998</v>
      </c>
      <c r="D134" s="29">
        <f t="shared" si="1"/>
        <v>9.9362068965517238</v>
      </c>
      <c r="E134" s="10"/>
      <c r="F134" s="10"/>
      <c r="G134" s="9"/>
      <c r="H134" s="11"/>
    </row>
    <row r="135" spans="1:8" ht="17.399999999999999" x14ac:dyDescent="0.25">
      <c r="A135" s="32" t="s">
        <v>4</v>
      </c>
      <c r="B135" s="33"/>
      <c r="C135" s="12">
        <v>29</v>
      </c>
      <c r="D135" s="30" t="str">
        <f t="shared" si="1"/>
        <v/>
      </c>
      <c r="E135" s="13"/>
      <c r="F135" s="13"/>
      <c r="G135" s="12"/>
      <c r="H135" s="14"/>
    </row>
    <row r="136" spans="1:8" ht="17.399999999999999" x14ac:dyDescent="0.25">
      <c r="A136" s="34" t="s">
        <v>67</v>
      </c>
      <c r="B136" s="35"/>
      <c r="C136" s="15">
        <v>1878.14</v>
      </c>
      <c r="D136" s="29">
        <f t="shared" si="1"/>
        <v>5.0760540540540543E-2</v>
      </c>
      <c r="E136" s="10"/>
      <c r="F136" s="10"/>
      <c r="G136" s="15"/>
      <c r="H136" s="11"/>
    </row>
    <row r="137" spans="1:8" ht="17.399999999999999" x14ac:dyDescent="0.25">
      <c r="A137" s="32" t="s">
        <v>4</v>
      </c>
      <c r="B137" s="33"/>
      <c r="C137" s="16">
        <v>37000</v>
      </c>
      <c r="D137" s="30" t="str">
        <f t="shared" si="1"/>
        <v/>
      </c>
      <c r="E137" s="13"/>
      <c r="F137" s="13"/>
      <c r="G137" s="16"/>
      <c r="H137" s="14"/>
    </row>
    <row r="138" spans="1:8" ht="17.399999999999999" x14ac:dyDescent="0.25">
      <c r="A138" s="34" t="s">
        <v>68</v>
      </c>
      <c r="B138" s="35"/>
      <c r="C138" s="9">
        <v>128.74</v>
      </c>
      <c r="D138" s="29">
        <f t="shared" ref="D138:D201" si="2">IF($A139="Кол-во",IFERROR($C138/$C139,""),"")</f>
        <v>6.4370000000000003</v>
      </c>
      <c r="E138" s="10"/>
      <c r="F138" s="10"/>
      <c r="G138" s="9"/>
      <c r="H138" s="11"/>
    </row>
    <row r="139" spans="1:8" ht="17.399999999999999" x14ac:dyDescent="0.25">
      <c r="A139" s="32" t="s">
        <v>4</v>
      </c>
      <c r="B139" s="33"/>
      <c r="C139" s="12">
        <v>20</v>
      </c>
      <c r="D139" s="30" t="str">
        <f t="shared" si="2"/>
        <v/>
      </c>
      <c r="E139" s="13"/>
      <c r="F139" s="13"/>
      <c r="G139" s="12"/>
      <c r="H139" s="14"/>
    </row>
    <row r="140" spans="1:8" ht="17.399999999999999" x14ac:dyDescent="0.25">
      <c r="A140" s="34" t="s">
        <v>69</v>
      </c>
      <c r="B140" s="35"/>
      <c r="C140" s="9">
        <v>22.57</v>
      </c>
      <c r="D140" s="29">
        <f t="shared" si="2"/>
        <v>2.2570000000000001</v>
      </c>
      <c r="E140" s="10"/>
      <c r="F140" s="10"/>
      <c r="G140" s="9"/>
      <c r="H140" s="11"/>
    </row>
    <row r="141" spans="1:8" ht="17.399999999999999" x14ac:dyDescent="0.25">
      <c r="A141" s="32" t="s">
        <v>4</v>
      </c>
      <c r="B141" s="33"/>
      <c r="C141" s="12">
        <v>10</v>
      </c>
      <c r="D141" s="30" t="str">
        <f t="shared" si="2"/>
        <v/>
      </c>
      <c r="E141" s="13"/>
      <c r="F141" s="13"/>
      <c r="G141" s="12"/>
      <c r="H141" s="14"/>
    </row>
    <row r="142" spans="1:8" ht="17.399999999999999" x14ac:dyDescent="0.25">
      <c r="A142" s="34" t="s">
        <v>70</v>
      </c>
      <c r="B142" s="35"/>
      <c r="C142" s="15">
        <v>1299.5999999999999</v>
      </c>
      <c r="D142" s="29">
        <f t="shared" si="2"/>
        <v>2.2799999999999998</v>
      </c>
      <c r="E142" s="10"/>
      <c r="F142" s="10"/>
      <c r="G142" s="15"/>
      <c r="H142" s="11"/>
    </row>
    <row r="143" spans="1:8" ht="17.399999999999999" x14ac:dyDescent="0.25">
      <c r="A143" s="32" t="s">
        <v>4</v>
      </c>
      <c r="B143" s="33"/>
      <c r="C143" s="12">
        <v>570</v>
      </c>
      <c r="D143" s="30" t="str">
        <f t="shared" si="2"/>
        <v/>
      </c>
      <c r="E143" s="13"/>
      <c r="F143" s="13"/>
      <c r="G143" s="12"/>
      <c r="H143" s="14"/>
    </row>
    <row r="144" spans="1:8" ht="17.399999999999999" x14ac:dyDescent="0.25">
      <c r="A144" s="34" t="s">
        <v>71</v>
      </c>
      <c r="B144" s="35"/>
      <c r="C144" s="9">
        <v>136.80000000000001</v>
      </c>
      <c r="D144" s="29">
        <f t="shared" si="2"/>
        <v>2.2800000000000002</v>
      </c>
      <c r="E144" s="10"/>
      <c r="F144" s="10"/>
      <c r="G144" s="9"/>
      <c r="H144" s="11"/>
    </row>
    <row r="145" spans="1:8" ht="17.399999999999999" x14ac:dyDescent="0.25">
      <c r="A145" s="32" t="s">
        <v>4</v>
      </c>
      <c r="B145" s="33"/>
      <c r="C145" s="12">
        <v>60</v>
      </c>
      <c r="D145" s="30" t="str">
        <f t="shared" si="2"/>
        <v/>
      </c>
      <c r="E145" s="13"/>
      <c r="F145" s="13"/>
      <c r="G145" s="12"/>
      <c r="H145" s="14"/>
    </row>
    <row r="146" spans="1:8" ht="17.399999999999999" x14ac:dyDescent="0.25">
      <c r="A146" s="34" t="s">
        <v>72</v>
      </c>
      <c r="B146" s="35"/>
      <c r="C146" s="15">
        <v>1136.1099999999999</v>
      </c>
      <c r="D146" s="29">
        <f t="shared" si="2"/>
        <v>27.709999999999997</v>
      </c>
      <c r="E146" s="10"/>
      <c r="F146" s="10"/>
      <c r="G146" s="15"/>
      <c r="H146" s="11"/>
    </row>
    <row r="147" spans="1:8" ht="17.399999999999999" x14ac:dyDescent="0.25">
      <c r="A147" s="32" t="s">
        <v>4</v>
      </c>
      <c r="B147" s="33"/>
      <c r="C147" s="12">
        <v>41</v>
      </c>
      <c r="D147" s="30" t="str">
        <f t="shared" si="2"/>
        <v/>
      </c>
      <c r="E147" s="13"/>
      <c r="F147" s="13"/>
      <c r="G147" s="12"/>
      <c r="H147" s="14"/>
    </row>
    <row r="148" spans="1:8" ht="17.399999999999999" x14ac:dyDescent="0.25">
      <c r="A148" s="34" t="s">
        <v>73</v>
      </c>
      <c r="B148" s="35"/>
      <c r="C148" s="9">
        <v>424.2</v>
      </c>
      <c r="D148" s="29">
        <f t="shared" si="2"/>
        <v>0.84839999999999993</v>
      </c>
      <c r="E148" s="10"/>
      <c r="F148" s="10"/>
      <c r="G148" s="9"/>
      <c r="H148" s="11"/>
    </row>
    <row r="149" spans="1:8" ht="17.399999999999999" x14ac:dyDescent="0.25">
      <c r="A149" s="32" t="s">
        <v>4</v>
      </c>
      <c r="B149" s="33"/>
      <c r="C149" s="12">
        <v>500</v>
      </c>
      <c r="D149" s="30" t="str">
        <f t="shared" si="2"/>
        <v/>
      </c>
      <c r="E149" s="13"/>
      <c r="F149" s="13"/>
      <c r="G149" s="12"/>
      <c r="H149" s="14"/>
    </row>
    <row r="150" spans="1:8" ht="17.399999999999999" x14ac:dyDescent="0.25">
      <c r="A150" s="34" t="s">
        <v>74</v>
      </c>
      <c r="B150" s="35"/>
      <c r="C150" s="15">
        <v>8231.9</v>
      </c>
      <c r="D150" s="29">
        <f t="shared" si="2"/>
        <v>2.63</v>
      </c>
      <c r="E150" s="10"/>
      <c r="F150" s="10"/>
      <c r="G150" s="15"/>
      <c r="H150" s="11"/>
    </row>
    <row r="151" spans="1:8" ht="17.399999999999999" x14ac:dyDescent="0.25">
      <c r="A151" s="32" t="s">
        <v>4</v>
      </c>
      <c r="B151" s="33"/>
      <c r="C151" s="16">
        <v>3130</v>
      </c>
      <c r="D151" s="30" t="str">
        <f t="shared" si="2"/>
        <v/>
      </c>
      <c r="E151" s="13"/>
      <c r="F151" s="13"/>
      <c r="G151" s="16"/>
      <c r="H151" s="14"/>
    </row>
    <row r="152" spans="1:8" ht="17.399999999999999" x14ac:dyDescent="0.25">
      <c r="A152" s="34" t="s">
        <v>75</v>
      </c>
      <c r="B152" s="35"/>
      <c r="C152" s="15">
        <v>10234.64</v>
      </c>
      <c r="D152" s="29">
        <f t="shared" si="2"/>
        <v>3.9363999999999999</v>
      </c>
      <c r="E152" s="10"/>
      <c r="F152" s="10"/>
      <c r="G152" s="15"/>
      <c r="H152" s="11"/>
    </row>
    <row r="153" spans="1:8" ht="17.399999999999999" x14ac:dyDescent="0.25">
      <c r="A153" s="32" t="s">
        <v>4</v>
      </c>
      <c r="B153" s="33"/>
      <c r="C153" s="16">
        <v>2600</v>
      </c>
      <c r="D153" s="30" t="str">
        <f t="shared" si="2"/>
        <v/>
      </c>
      <c r="E153" s="13"/>
      <c r="F153" s="13"/>
      <c r="G153" s="16"/>
      <c r="H153" s="14"/>
    </row>
    <row r="154" spans="1:8" ht="17.399999999999999" x14ac:dyDescent="0.25">
      <c r="A154" s="34" t="s">
        <v>76</v>
      </c>
      <c r="B154" s="35"/>
      <c r="C154" s="9">
        <v>480.6</v>
      </c>
      <c r="D154" s="29">
        <f t="shared" si="2"/>
        <v>0.38448000000000004</v>
      </c>
      <c r="E154" s="10"/>
      <c r="F154" s="10"/>
      <c r="G154" s="9"/>
      <c r="H154" s="11"/>
    </row>
    <row r="155" spans="1:8" ht="17.399999999999999" x14ac:dyDescent="0.25">
      <c r="A155" s="32" t="s">
        <v>4</v>
      </c>
      <c r="B155" s="33"/>
      <c r="C155" s="16">
        <v>1250</v>
      </c>
      <c r="D155" s="30" t="str">
        <f t="shared" si="2"/>
        <v/>
      </c>
      <c r="E155" s="13"/>
      <c r="F155" s="13"/>
      <c r="G155" s="16"/>
      <c r="H155" s="14"/>
    </row>
    <row r="156" spans="1:8" ht="17.399999999999999" x14ac:dyDescent="0.25">
      <c r="A156" s="34" t="s">
        <v>77</v>
      </c>
      <c r="B156" s="35"/>
      <c r="C156" s="9">
        <v>839.05</v>
      </c>
      <c r="D156" s="29">
        <f t="shared" si="2"/>
        <v>0.45849726775956284</v>
      </c>
      <c r="E156" s="10"/>
      <c r="F156" s="10"/>
      <c r="G156" s="9"/>
      <c r="H156" s="11"/>
    </row>
    <row r="157" spans="1:8" ht="17.399999999999999" x14ac:dyDescent="0.25">
      <c r="A157" s="32" t="s">
        <v>4</v>
      </c>
      <c r="B157" s="33"/>
      <c r="C157" s="16">
        <v>1830</v>
      </c>
      <c r="D157" s="30" t="str">
        <f t="shared" si="2"/>
        <v/>
      </c>
      <c r="E157" s="13"/>
      <c r="F157" s="13"/>
      <c r="G157" s="16"/>
      <c r="H157" s="14"/>
    </row>
    <row r="158" spans="1:8" ht="17.399999999999999" x14ac:dyDescent="0.25">
      <c r="A158" s="34" t="s">
        <v>78</v>
      </c>
      <c r="B158" s="35"/>
      <c r="C158" s="9">
        <v>9.7200000000000006</v>
      </c>
      <c r="D158" s="29">
        <f t="shared" si="2"/>
        <v>0.32400000000000001</v>
      </c>
      <c r="E158" s="10"/>
      <c r="F158" s="10"/>
      <c r="G158" s="9"/>
      <c r="H158" s="11"/>
    </row>
    <row r="159" spans="1:8" ht="17.399999999999999" x14ac:dyDescent="0.25">
      <c r="A159" s="32" t="s">
        <v>4</v>
      </c>
      <c r="B159" s="33"/>
      <c r="C159" s="12">
        <v>30</v>
      </c>
      <c r="D159" s="30" t="str">
        <f t="shared" si="2"/>
        <v/>
      </c>
      <c r="E159" s="13"/>
      <c r="F159" s="13"/>
      <c r="G159" s="12"/>
      <c r="H159" s="14"/>
    </row>
    <row r="160" spans="1:8" ht="17.399999999999999" x14ac:dyDescent="0.25">
      <c r="A160" s="34" t="s">
        <v>79</v>
      </c>
      <c r="B160" s="35"/>
      <c r="C160" s="9">
        <v>96.15</v>
      </c>
      <c r="D160" s="29">
        <f t="shared" si="2"/>
        <v>1.0683333333333334</v>
      </c>
      <c r="E160" s="10"/>
      <c r="F160" s="10"/>
      <c r="G160" s="9"/>
      <c r="H160" s="11"/>
    </row>
    <row r="161" spans="1:8" ht="17.399999999999999" x14ac:dyDescent="0.25">
      <c r="A161" s="32" t="s">
        <v>4</v>
      </c>
      <c r="B161" s="33"/>
      <c r="C161" s="12">
        <v>90</v>
      </c>
      <c r="D161" s="30" t="str">
        <f t="shared" si="2"/>
        <v/>
      </c>
      <c r="E161" s="13"/>
      <c r="F161" s="13"/>
      <c r="G161" s="12"/>
      <c r="H161" s="14"/>
    </row>
    <row r="162" spans="1:8" ht="17.399999999999999" x14ac:dyDescent="0.25">
      <c r="A162" s="34" t="s">
        <v>80</v>
      </c>
      <c r="B162" s="35"/>
      <c r="C162" s="9">
        <v>26.94</v>
      </c>
      <c r="D162" s="29">
        <f t="shared" si="2"/>
        <v>26.94</v>
      </c>
      <c r="E162" s="10"/>
      <c r="F162" s="10"/>
      <c r="G162" s="9"/>
      <c r="H162" s="11"/>
    </row>
    <row r="163" spans="1:8" ht="17.399999999999999" x14ac:dyDescent="0.25">
      <c r="A163" s="32" t="s">
        <v>4</v>
      </c>
      <c r="B163" s="33"/>
      <c r="C163" s="12">
        <v>1</v>
      </c>
      <c r="D163" s="30" t="str">
        <f t="shared" si="2"/>
        <v/>
      </c>
      <c r="E163" s="13"/>
      <c r="F163" s="13"/>
      <c r="G163" s="12"/>
      <c r="H163" s="14"/>
    </row>
    <row r="164" spans="1:8" ht="17.399999999999999" x14ac:dyDescent="0.25">
      <c r="A164" s="34" t="s">
        <v>81</v>
      </c>
      <c r="B164" s="35"/>
      <c r="C164" s="15">
        <v>1756.93</v>
      </c>
      <c r="D164" s="29">
        <f t="shared" si="2"/>
        <v>0.25134907010014307</v>
      </c>
      <c r="E164" s="10"/>
      <c r="F164" s="10"/>
      <c r="G164" s="15"/>
      <c r="H164" s="11"/>
    </row>
    <row r="165" spans="1:8" ht="17.399999999999999" x14ac:dyDescent="0.25">
      <c r="A165" s="32" t="s">
        <v>4</v>
      </c>
      <c r="B165" s="33"/>
      <c r="C165" s="16">
        <v>6990</v>
      </c>
      <c r="D165" s="30" t="str">
        <f t="shared" si="2"/>
        <v/>
      </c>
      <c r="E165" s="13"/>
      <c r="F165" s="13"/>
      <c r="G165" s="16"/>
      <c r="H165" s="14"/>
    </row>
    <row r="166" spans="1:8" ht="17.399999999999999" x14ac:dyDescent="0.25">
      <c r="A166" s="34" t="s">
        <v>82</v>
      </c>
      <c r="B166" s="35"/>
      <c r="C166" s="9">
        <v>53.56</v>
      </c>
      <c r="D166" s="29">
        <f t="shared" si="2"/>
        <v>0.66949999999999998</v>
      </c>
      <c r="E166" s="10"/>
      <c r="F166" s="10"/>
      <c r="G166" s="9"/>
      <c r="H166" s="11"/>
    </row>
    <row r="167" spans="1:8" ht="17.399999999999999" x14ac:dyDescent="0.25">
      <c r="A167" s="32" t="s">
        <v>4</v>
      </c>
      <c r="B167" s="33"/>
      <c r="C167" s="12">
        <v>80</v>
      </c>
      <c r="D167" s="30" t="str">
        <f t="shared" si="2"/>
        <v/>
      </c>
      <c r="E167" s="13"/>
      <c r="F167" s="13"/>
      <c r="G167" s="12"/>
      <c r="H167" s="14"/>
    </row>
    <row r="168" spans="1:8" ht="17.399999999999999" x14ac:dyDescent="0.25">
      <c r="A168" s="34" t="s">
        <v>83</v>
      </c>
      <c r="B168" s="35"/>
      <c r="C168" s="9">
        <v>357.58</v>
      </c>
      <c r="D168" s="29">
        <f t="shared" si="2"/>
        <v>2.5541428571428568</v>
      </c>
      <c r="E168" s="10"/>
      <c r="F168" s="10"/>
      <c r="G168" s="9"/>
      <c r="H168" s="11"/>
    </row>
    <row r="169" spans="1:8" ht="17.399999999999999" x14ac:dyDescent="0.25">
      <c r="A169" s="32" t="s">
        <v>4</v>
      </c>
      <c r="B169" s="33"/>
      <c r="C169" s="12">
        <v>140</v>
      </c>
      <c r="D169" s="30" t="str">
        <f t="shared" si="2"/>
        <v/>
      </c>
      <c r="E169" s="13"/>
      <c r="F169" s="13"/>
      <c r="G169" s="12"/>
      <c r="H169" s="14"/>
    </row>
    <row r="170" spans="1:8" ht="17.399999999999999" x14ac:dyDescent="0.25">
      <c r="A170" s="34" t="s">
        <v>84</v>
      </c>
      <c r="B170" s="35"/>
      <c r="C170" s="15">
        <v>7020.93</v>
      </c>
      <c r="D170" s="29">
        <f t="shared" si="2"/>
        <v>156.02066666666667</v>
      </c>
      <c r="E170" s="10"/>
      <c r="F170" s="10"/>
      <c r="G170" s="15"/>
      <c r="H170" s="11"/>
    </row>
    <row r="171" spans="1:8" ht="17.399999999999999" x14ac:dyDescent="0.25">
      <c r="A171" s="32" t="s">
        <v>4</v>
      </c>
      <c r="B171" s="33"/>
      <c r="C171" s="12">
        <v>45</v>
      </c>
      <c r="D171" s="30" t="str">
        <f t="shared" si="2"/>
        <v/>
      </c>
      <c r="E171" s="13"/>
      <c r="F171" s="13"/>
      <c r="G171" s="12"/>
      <c r="H171" s="14"/>
    </row>
    <row r="172" spans="1:8" ht="17.399999999999999" x14ac:dyDescent="0.25">
      <c r="A172" s="34" t="s">
        <v>85</v>
      </c>
      <c r="B172" s="35"/>
      <c r="C172" s="15">
        <v>31091.119999999999</v>
      </c>
      <c r="D172" s="29">
        <f t="shared" si="2"/>
        <v>232.02328358208953</v>
      </c>
      <c r="E172" s="10"/>
      <c r="F172" s="10"/>
      <c r="G172" s="15"/>
      <c r="H172" s="11"/>
    </row>
    <row r="173" spans="1:8" ht="17.399999999999999" x14ac:dyDescent="0.25">
      <c r="A173" s="32" t="s">
        <v>4</v>
      </c>
      <c r="B173" s="33"/>
      <c r="C173" s="12">
        <v>134</v>
      </c>
      <c r="D173" s="30" t="str">
        <f t="shared" si="2"/>
        <v/>
      </c>
      <c r="E173" s="13"/>
      <c r="F173" s="13"/>
      <c r="G173" s="12"/>
      <c r="H173" s="14"/>
    </row>
    <row r="174" spans="1:8" ht="17.399999999999999" x14ac:dyDescent="0.25">
      <c r="A174" s="34" t="s">
        <v>86</v>
      </c>
      <c r="B174" s="35"/>
      <c r="C174" s="15">
        <v>2012.5</v>
      </c>
      <c r="D174" s="29">
        <f t="shared" si="2"/>
        <v>8.0500000000000007</v>
      </c>
      <c r="E174" s="10"/>
      <c r="F174" s="10"/>
      <c r="G174" s="15"/>
      <c r="H174" s="11"/>
    </row>
    <row r="175" spans="1:8" ht="17.399999999999999" x14ac:dyDescent="0.25">
      <c r="A175" s="32" t="s">
        <v>4</v>
      </c>
      <c r="B175" s="33"/>
      <c r="C175" s="12">
        <v>250</v>
      </c>
      <c r="D175" s="30" t="str">
        <f t="shared" si="2"/>
        <v/>
      </c>
      <c r="E175" s="13"/>
      <c r="F175" s="13"/>
      <c r="G175" s="12"/>
      <c r="H175" s="14"/>
    </row>
    <row r="176" spans="1:8" ht="17.399999999999999" x14ac:dyDescent="0.25">
      <c r="A176" s="34" t="s">
        <v>87</v>
      </c>
      <c r="B176" s="35"/>
      <c r="C176" s="9">
        <v>449.99</v>
      </c>
      <c r="D176" s="29">
        <f t="shared" si="2"/>
        <v>1.2499722222222223</v>
      </c>
      <c r="E176" s="10"/>
      <c r="F176" s="10"/>
      <c r="G176" s="9"/>
      <c r="H176" s="11"/>
    </row>
    <row r="177" spans="1:8" ht="17.399999999999999" x14ac:dyDescent="0.25">
      <c r="A177" s="32" t="s">
        <v>4</v>
      </c>
      <c r="B177" s="33"/>
      <c r="C177" s="12">
        <v>360</v>
      </c>
      <c r="D177" s="30" t="str">
        <f t="shared" si="2"/>
        <v/>
      </c>
      <c r="E177" s="13"/>
      <c r="F177" s="13"/>
      <c r="G177" s="12"/>
      <c r="H177" s="14"/>
    </row>
    <row r="178" spans="1:8" ht="17.399999999999999" x14ac:dyDescent="0.25">
      <c r="A178" s="34" t="s">
        <v>88</v>
      </c>
      <c r="B178" s="35"/>
      <c r="C178" s="9">
        <v>257.55</v>
      </c>
      <c r="D178" s="29">
        <f t="shared" si="2"/>
        <v>2.3413636363636363</v>
      </c>
      <c r="E178" s="10"/>
      <c r="F178" s="10"/>
      <c r="G178" s="9"/>
      <c r="H178" s="11"/>
    </row>
    <row r="179" spans="1:8" ht="17.399999999999999" x14ac:dyDescent="0.25">
      <c r="A179" s="32" t="s">
        <v>4</v>
      </c>
      <c r="B179" s="33"/>
      <c r="C179" s="12">
        <v>110</v>
      </c>
      <c r="D179" s="30" t="str">
        <f t="shared" si="2"/>
        <v/>
      </c>
      <c r="E179" s="13"/>
      <c r="F179" s="13"/>
      <c r="G179" s="12"/>
      <c r="H179" s="14"/>
    </row>
    <row r="180" spans="1:8" ht="17.399999999999999" x14ac:dyDescent="0.25">
      <c r="A180" s="34" t="s">
        <v>89</v>
      </c>
      <c r="B180" s="35"/>
      <c r="C180" s="9">
        <v>37.57</v>
      </c>
      <c r="D180" s="29">
        <f t="shared" si="2"/>
        <v>0.37569999999999998</v>
      </c>
      <c r="E180" s="10"/>
      <c r="F180" s="10"/>
      <c r="G180" s="9"/>
      <c r="H180" s="11"/>
    </row>
    <row r="181" spans="1:8" ht="17.399999999999999" x14ac:dyDescent="0.25">
      <c r="A181" s="32" t="s">
        <v>4</v>
      </c>
      <c r="B181" s="33"/>
      <c r="C181" s="12">
        <v>100</v>
      </c>
      <c r="D181" s="30" t="str">
        <f t="shared" si="2"/>
        <v/>
      </c>
      <c r="E181" s="13"/>
      <c r="F181" s="13"/>
      <c r="G181" s="12"/>
      <c r="H181" s="14"/>
    </row>
    <row r="182" spans="1:8" ht="17.399999999999999" x14ac:dyDescent="0.25">
      <c r="A182" s="34" t="s">
        <v>90</v>
      </c>
      <c r="B182" s="35"/>
      <c r="C182" s="9">
        <v>734.4</v>
      </c>
      <c r="D182" s="29">
        <f t="shared" si="2"/>
        <v>0.25606694560669457</v>
      </c>
      <c r="E182" s="10"/>
      <c r="F182" s="10"/>
      <c r="G182" s="9"/>
      <c r="H182" s="11"/>
    </row>
    <row r="183" spans="1:8" ht="17.399999999999999" x14ac:dyDescent="0.25">
      <c r="A183" s="32" t="s">
        <v>4</v>
      </c>
      <c r="B183" s="33"/>
      <c r="C183" s="16">
        <v>2868</v>
      </c>
      <c r="D183" s="30" t="str">
        <f t="shared" si="2"/>
        <v/>
      </c>
      <c r="E183" s="13"/>
      <c r="F183" s="13"/>
      <c r="G183" s="16"/>
      <c r="H183" s="14"/>
    </row>
    <row r="184" spans="1:8" ht="17.399999999999999" x14ac:dyDescent="0.25">
      <c r="A184" s="34" t="s">
        <v>91</v>
      </c>
      <c r="B184" s="35"/>
      <c r="C184" s="9">
        <v>640.79999999999995</v>
      </c>
      <c r="D184" s="29">
        <f t="shared" si="2"/>
        <v>0.41882352941176465</v>
      </c>
      <c r="E184" s="10"/>
      <c r="F184" s="10"/>
      <c r="G184" s="9"/>
      <c r="H184" s="11"/>
    </row>
    <row r="185" spans="1:8" ht="17.399999999999999" x14ac:dyDescent="0.25">
      <c r="A185" s="32" t="s">
        <v>4</v>
      </c>
      <c r="B185" s="33"/>
      <c r="C185" s="16">
        <v>1530</v>
      </c>
      <c r="D185" s="30" t="str">
        <f t="shared" si="2"/>
        <v/>
      </c>
      <c r="E185" s="13"/>
      <c r="F185" s="13"/>
      <c r="G185" s="16"/>
      <c r="H185" s="14"/>
    </row>
    <row r="186" spans="1:8" ht="17.399999999999999" x14ac:dyDescent="0.25">
      <c r="A186" s="34" t="s">
        <v>92</v>
      </c>
      <c r="B186" s="35"/>
      <c r="C186" s="9">
        <v>7.13</v>
      </c>
      <c r="D186" s="29">
        <f t="shared" si="2"/>
        <v>7.13</v>
      </c>
      <c r="E186" s="10"/>
      <c r="F186" s="10"/>
      <c r="G186" s="9"/>
      <c r="H186" s="11"/>
    </row>
    <row r="187" spans="1:8" ht="17.399999999999999" x14ac:dyDescent="0.25">
      <c r="A187" s="32" t="s">
        <v>4</v>
      </c>
      <c r="B187" s="33"/>
      <c r="C187" s="12">
        <v>1</v>
      </c>
      <c r="D187" s="30" t="str">
        <f t="shared" si="2"/>
        <v/>
      </c>
      <c r="E187" s="13"/>
      <c r="F187" s="13"/>
      <c r="G187" s="12"/>
      <c r="H187" s="14"/>
    </row>
    <row r="188" spans="1:8" ht="17.399999999999999" x14ac:dyDescent="0.25">
      <c r="A188" s="34" t="s">
        <v>93</v>
      </c>
      <c r="B188" s="35"/>
      <c r="C188" s="15">
        <v>30758.86</v>
      </c>
      <c r="D188" s="29">
        <f t="shared" si="2"/>
        <v>3.4755774011299434</v>
      </c>
      <c r="E188" s="10"/>
      <c r="F188" s="10"/>
      <c r="G188" s="15"/>
      <c r="H188" s="11"/>
    </row>
    <row r="189" spans="1:8" ht="17.399999999999999" x14ac:dyDescent="0.25">
      <c r="A189" s="32" t="s">
        <v>4</v>
      </c>
      <c r="B189" s="33"/>
      <c r="C189" s="16">
        <v>8850</v>
      </c>
      <c r="D189" s="30" t="str">
        <f t="shared" si="2"/>
        <v/>
      </c>
      <c r="E189" s="13"/>
      <c r="F189" s="13"/>
      <c r="G189" s="16"/>
      <c r="H189" s="14"/>
    </row>
    <row r="190" spans="1:8" ht="17.399999999999999" x14ac:dyDescent="0.25">
      <c r="A190" s="34" t="s">
        <v>94</v>
      </c>
      <c r="B190" s="35"/>
      <c r="C190" s="15">
        <v>13824.1</v>
      </c>
      <c r="D190" s="29">
        <f t="shared" si="2"/>
        <v>20.48014814814815</v>
      </c>
      <c r="E190" s="10"/>
      <c r="F190" s="10"/>
      <c r="G190" s="15"/>
      <c r="H190" s="11"/>
    </row>
    <row r="191" spans="1:8" ht="17.399999999999999" x14ac:dyDescent="0.25">
      <c r="A191" s="32" t="s">
        <v>4</v>
      </c>
      <c r="B191" s="33"/>
      <c r="C191" s="12">
        <v>675</v>
      </c>
      <c r="D191" s="30" t="str">
        <f t="shared" si="2"/>
        <v/>
      </c>
      <c r="E191" s="13"/>
      <c r="F191" s="13"/>
      <c r="G191" s="12"/>
      <c r="H191" s="14"/>
    </row>
    <row r="192" spans="1:8" ht="17.399999999999999" x14ac:dyDescent="0.25">
      <c r="A192" s="34" t="s">
        <v>95</v>
      </c>
      <c r="B192" s="35"/>
      <c r="C192" s="15">
        <v>1124.55</v>
      </c>
      <c r="D192" s="29">
        <f t="shared" si="2"/>
        <v>1.6297826086956522</v>
      </c>
      <c r="E192" s="10"/>
      <c r="F192" s="10"/>
      <c r="G192" s="15"/>
      <c r="H192" s="11"/>
    </row>
    <row r="193" spans="1:8" ht="17.399999999999999" x14ac:dyDescent="0.25">
      <c r="A193" s="32" t="s">
        <v>4</v>
      </c>
      <c r="B193" s="33"/>
      <c r="C193" s="12">
        <v>690</v>
      </c>
      <c r="D193" s="30" t="str">
        <f t="shared" si="2"/>
        <v/>
      </c>
      <c r="E193" s="13"/>
      <c r="F193" s="13"/>
      <c r="G193" s="12"/>
      <c r="H193" s="14"/>
    </row>
    <row r="194" spans="1:8" ht="17.399999999999999" x14ac:dyDescent="0.25">
      <c r="A194" s="34" t="s">
        <v>96</v>
      </c>
      <c r="B194" s="35"/>
      <c r="C194" s="15">
        <v>32293.87</v>
      </c>
      <c r="D194" s="29">
        <f t="shared" si="2"/>
        <v>6.0817080979284368</v>
      </c>
      <c r="E194" s="10"/>
      <c r="F194" s="10"/>
      <c r="G194" s="15"/>
      <c r="H194" s="11"/>
    </row>
    <row r="195" spans="1:8" ht="17.399999999999999" x14ac:dyDescent="0.25">
      <c r="A195" s="32" t="s">
        <v>4</v>
      </c>
      <c r="B195" s="33"/>
      <c r="C195" s="16">
        <v>5310</v>
      </c>
      <c r="D195" s="30" t="str">
        <f t="shared" si="2"/>
        <v/>
      </c>
      <c r="E195" s="13"/>
      <c r="F195" s="13"/>
      <c r="G195" s="16"/>
      <c r="H195" s="14"/>
    </row>
    <row r="196" spans="1:8" ht="17.399999999999999" x14ac:dyDescent="0.25">
      <c r="A196" s="34" t="s">
        <v>97</v>
      </c>
      <c r="B196" s="35"/>
      <c r="C196" s="15">
        <v>8265.9500000000007</v>
      </c>
      <c r="D196" s="29">
        <f t="shared" si="2"/>
        <v>4.6700282485875713</v>
      </c>
      <c r="E196" s="10"/>
      <c r="F196" s="10"/>
      <c r="G196" s="15"/>
      <c r="H196" s="11"/>
    </row>
    <row r="197" spans="1:8" ht="17.399999999999999" x14ac:dyDescent="0.25">
      <c r="A197" s="32" t="s">
        <v>4</v>
      </c>
      <c r="B197" s="33"/>
      <c r="C197" s="16">
        <v>1770</v>
      </c>
      <c r="D197" s="30" t="str">
        <f t="shared" si="2"/>
        <v/>
      </c>
      <c r="E197" s="13"/>
      <c r="F197" s="13"/>
      <c r="G197" s="16"/>
      <c r="H197" s="14"/>
    </row>
    <row r="198" spans="1:8" ht="17.399999999999999" x14ac:dyDescent="0.25">
      <c r="A198" s="34" t="s">
        <v>98</v>
      </c>
      <c r="B198" s="35"/>
      <c r="C198" s="15">
        <v>6216.86</v>
      </c>
      <c r="D198" s="29">
        <f t="shared" si="2"/>
        <v>1.1978535645472062</v>
      </c>
      <c r="E198" s="10"/>
      <c r="F198" s="10"/>
      <c r="G198" s="15"/>
      <c r="H198" s="11"/>
    </row>
    <row r="199" spans="1:8" ht="17.399999999999999" x14ac:dyDescent="0.25">
      <c r="A199" s="32" t="s">
        <v>4</v>
      </c>
      <c r="B199" s="33"/>
      <c r="C199" s="16">
        <v>5190</v>
      </c>
      <c r="D199" s="30" t="str">
        <f t="shared" si="2"/>
        <v/>
      </c>
      <c r="E199" s="13"/>
      <c r="F199" s="13"/>
      <c r="G199" s="16"/>
      <c r="H199" s="14"/>
    </row>
    <row r="200" spans="1:8" ht="17.399999999999999" x14ac:dyDescent="0.25">
      <c r="A200" s="34" t="s">
        <v>99</v>
      </c>
      <c r="B200" s="35"/>
      <c r="C200" s="9">
        <v>100</v>
      </c>
      <c r="D200" s="29">
        <f t="shared" si="2"/>
        <v>2.5</v>
      </c>
      <c r="E200" s="10"/>
      <c r="F200" s="10"/>
      <c r="G200" s="9"/>
      <c r="H200" s="11"/>
    </row>
    <row r="201" spans="1:8" ht="17.399999999999999" x14ac:dyDescent="0.25">
      <c r="A201" s="32" t="s">
        <v>4</v>
      </c>
      <c r="B201" s="33"/>
      <c r="C201" s="12">
        <v>40</v>
      </c>
      <c r="D201" s="30" t="str">
        <f t="shared" si="2"/>
        <v/>
      </c>
      <c r="E201" s="13"/>
      <c r="F201" s="13"/>
      <c r="G201" s="12"/>
      <c r="H201" s="14"/>
    </row>
    <row r="202" spans="1:8" ht="17.399999999999999" x14ac:dyDescent="0.25">
      <c r="A202" s="34" t="s">
        <v>100</v>
      </c>
      <c r="B202" s="35"/>
      <c r="C202" s="9">
        <v>48.09</v>
      </c>
      <c r="D202" s="29">
        <f t="shared" ref="D202:D265" si="3">IF($A203="Кол-во",IFERROR($C202/$C203,""),"")</f>
        <v>0.48090000000000005</v>
      </c>
      <c r="E202" s="10"/>
      <c r="F202" s="10"/>
      <c r="G202" s="9"/>
      <c r="H202" s="11"/>
    </row>
    <row r="203" spans="1:8" ht="17.399999999999999" x14ac:dyDescent="0.25">
      <c r="A203" s="32" t="s">
        <v>4</v>
      </c>
      <c r="B203" s="33"/>
      <c r="C203" s="12">
        <v>100</v>
      </c>
      <c r="D203" s="30" t="str">
        <f t="shared" si="3"/>
        <v/>
      </c>
      <c r="E203" s="13"/>
      <c r="F203" s="13"/>
      <c r="G203" s="12"/>
      <c r="H203" s="14"/>
    </row>
    <row r="204" spans="1:8" ht="17.399999999999999" x14ac:dyDescent="0.25">
      <c r="A204" s="34" t="s">
        <v>101</v>
      </c>
      <c r="B204" s="35"/>
      <c r="C204" s="9">
        <v>278.3</v>
      </c>
      <c r="D204" s="29">
        <f t="shared" si="3"/>
        <v>1.3252380952380953</v>
      </c>
      <c r="E204" s="10"/>
      <c r="F204" s="10"/>
      <c r="G204" s="9"/>
      <c r="H204" s="11"/>
    </row>
    <row r="205" spans="1:8" ht="17.399999999999999" x14ac:dyDescent="0.25">
      <c r="A205" s="32" t="s">
        <v>4</v>
      </c>
      <c r="B205" s="33"/>
      <c r="C205" s="12">
        <v>210</v>
      </c>
      <c r="D205" s="30" t="str">
        <f t="shared" si="3"/>
        <v/>
      </c>
      <c r="E205" s="13"/>
      <c r="F205" s="13"/>
      <c r="G205" s="12"/>
      <c r="H205" s="14"/>
    </row>
    <row r="206" spans="1:8" ht="17.399999999999999" x14ac:dyDescent="0.25">
      <c r="A206" s="34" t="s">
        <v>102</v>
      </c>
      <c r="B206" s="35"/>
      <c r="C206" s="15">
        <v>6896.49</v>
      </c>
      <c r="D206" s="29">
        <f t="shared" si="3"/>
        <v>39.408514285714283</v>
      </c>
      <c r="E206" s="10"/>
      <c r="F206" s="10"/>
      <c r="G206" s="15"/>
      <c r="H206" s="11"/>
    </row>
    <row r="207" spans="1:8" ht="17.399999999999999" x14ac:dyDescent="0.25">
      <c r="A207" s="32" t="s">
        <v>4</v>
      </c>
      <c r="B207" s="33"/>
      <c r="C207" s="12">
        <v>175</v>
      </c>
      <c r="D207" s="30" t="str">
        <f t="shared" si="3"/>
        <v/>
      </c>
      <c r="E207" s="13"/>
      <c r="F207" s="13"/>
      <c r="G207" s="12"/>
      <c r="H207" s="14"/>
    </row>
    <row r="208" spans="1:8" ht="17.399999999999999" x14ac:dyDescent="0.25">
      <c r="A208" s="34" t="s">
        <v>103</v>
      </c>
      <c r="B208" s="35"/>
      <c r="C208" s="15">
        <v>6042.42</v>
      </c>
      <c r="D208" s="29">
        <f t="shared" si="3"/>
        <v>75.530249999999995</v>
      </c>
      <c r="E208" s="10"/>
      <c r="F208" s="10"/>
      <c r="G208" s="15"/>
      <c r="H208" s="11"/>
    </row>
    <row r="209" spans="1:8" ht="17.399999999999999" x14ac:dyDescent="0.25">
      <c r="A209" s="32" t="s">
        <v>4</v>
      </c>
      <c r="B209" s="33"/>
      <c r="C209" s="12">
        <v>80</v>
      </c>
      <c r="D209" s="30" t="str">
        <f t="shared" si="3"/>
        <v/>
      </c>
      <c r="E209" s="13"/>
      <c r="F209" s="13"/>
      <c r="G209" s="12"/>
      <c r="H209" s="14"/>
    </row>
    <row r="210" spans="1:8" ht="17.399999999999999" x14ac:dyDescent="0.25">
      <c r="A210" s="34" t="s">
        <v>104</v>
      </c>
      <c r="B210" s="35"/>
      <c r="C210" s="15">
        <v>19759.22</v>
      </c>
      <c r="D210" s="29">
        <f t="shared" si="3"/>
        <v>246.99025</v>
      </c>
      <c r="E210" s="10"/>
      <c r="F210" s="10"/>
      <c r="G210" s="15"/>
      <c r="H210" s="11"/>
    </row>
    <row r="211" spans="1:8" ht="17.399999999999999" x14ac:dyDescent="0.25">
      <c r="A211" s="32" t="s">
        <v>4</v>
      </c>
      <c r="B211" s="33"/>
      <c r="C211" s="12">
        <v>80</v>
      </c>
      <c r="D211" s="30" t="str">
        <f t="shared" si="3"/>
        <v/>
      </c>
      <c r="E211" s="13"/>
      <c r="F211" s="13"/>
      <c r="G211" s="12"/>
      <c r="H211" s="14"/>
    </row>
    <row r="212" spans="1:8" ht="17.399999999999999" x14ac:dyDescent="0.25">
      <c r="A212" s="34" t="s">
        <v>105</v>
      </c>
      <c r="B212" s="35"/>
      <c r="C212" s="15">
        <v>4394.99</v>
      </c>
      <c r="D212" s="29">
        <f t="shared" si="3"/>
        <v>2.1544068627450979</v>
      </c>
      <c r="E212" s="10"/>
      <c r="F212" s="10"/>
      <c r="G212" s="15"/>
      <c r="H212" s="11"/>
    </row>
    <row r="213" spans="1:8" ht="17.399999999999999" x14ac:dyDescent="0.25">
      <c r="A213" s="32" t="s">
        <v>4</v>
      </c>
      <c r="B213" s="33"/>
      <c r="C213" s="16">
        <v>2040</v>
      </c>
      <c r="D213" s="30" t="str">
        <f t="shared" si="3"/>
        <v/>
      </c>
      <c r="E213" s="13"/>
      <c r="F213" s="13"/>
      <c r="G213" s="16"/>
      <c r="H213" s="14"/>
    </row>
    <row r="214" spans="1:8" ht="17.399999999999999" x14ac:dyDescent="0.25">
      <c r="A214" s="34" t="s">
        <v>106</v>
      </c>
      <c r="B214" s="35"/>
      <c r="C214" s="15">
        <v>2306.96</v>
      </c>
      <c r="D214" s="29">
        <f t="shared" si="3"/>
        <v>3.9101016949152543</v>
      </c>
      <c r="E214" s="10"/>
      <c r="F214" s="10"/>
      <c r="G214" s="15"/>
      <c r="H214" s="11"/>
    </row>
    <row r="215" spans="1:8" ht="17.399999999999999" x14ac:dyDescent="0.25">
      <c r="A215" s="32" t="s">
        <v>4</v>
      </c>
      <c r="B215" s="33"/>
      <c r="C215" s="12">
        <v>590</v>
      </c>
      <c r="D215" s="30" t="str">
        <f t="shared" si="3"/>
        <v/>
      </c>
      <c r="E215" s="13"/>
      <c r="F215" s="13"/>
      <c r="G215" s="12"/>
      <c r="H215" s="14"/>
    </row>
    <row r="216" spans="1:8" ht="17.399999999999999" x14ac:dyDescent="0.25">
      <c r="A216" s="34" t="s">
        <v>107</v>
      </c>
      <c r="B216" s="35"/>
      <c r="C216" s="9">
        <v>90.72</v>
      </c>
      <c r="D216" s="29">
        <f t="shared" si="3"/>
        <v>1.512</v>
      </c>
      <c r="E216" s="10"/>
      <c r="F216" s="10"/>
      <c r="G216" s="9"/>
      <c r="H216" s="11"/>
    </row>
    <row r="217" spans="1:8" ht="17.399999999999999" x14ac:dyDescent="0.25">
      <c r="A217" s="32" t="s">
        <v>4</v>
      </c>
      <c r="B217" s="33"/>
      <c r="C217" s="12">
        <v>60</v>
      </c>
      <c r="D217" s="30" t="str">
        <f t="shared" si="3"/>
        <v/>
      </c>
      <c r="E217" s="13"/>
      <c r="F217" s="13"/>
      <c r="G217" s="12"/>
      <c r="H217" s="14"/>
    </row>
    <row r="218" spans="1:8" ht="17.399999999999999" x14ac:dyDescent="0.25">
      <c r="A218" s="34" t="s">
        <v>108</v>
      </c>
      <c r="B218" s="35"/>
      <c r="C218" s="9">
        <v>90.72</v>
      </c>
      <c r="D218" s="29">
        <f t="shared" si="3"/>
        <v>1.512</v>
      </c>
      <c r="E218" s="10"/>
      <c r="F218" s="10"/>
      <c r="G218" s="9"/>
      <c r="H218" s="11"/>
    </row>
    <row r="219" spans="1:8" ht="17.399999999999999" x14ac:dyDescent="0.25">
      <c r="A219" s="32" t="s">
        <v>4</v>
      </c>
      <c r="B219" s="33"/>
      <c r="C219" s="12">
        <v>60</v>
      </c>
      <c r="D219" s="30" t="str">
        <f t="shared" si="3"/>
        <v/>
      </c>
      <c r="E219" s="13"/>
      <c r="F219" s="13"/>
      <c r="G219" s="12"/>
      <c r="H219" s="14"/>
    </row>
    <row r="220" spans="1:8" ht="17.399999999999999" x14ac:dyDescent="0.25">
      <c r="A220" s="34" t="s">
        <v>109</v>
      </c>
      <c r="B220" s="35"/>
      <c r="C220" s="15">
        <v>2087.59</v>
      </c>
      <c r="D220" s="29">
        <f t="shared" si="3"/>
        <v>1.5349926470588235</v>
      </c>
      <c r="E220" s="10"/>
      <c r="F220" s="10"/>
      <c r="G220" s="15"/>
      <c r="H220" s="11"/>
    </row>
    <row r="221" spans="1:8" ht="17.399999999999999" x14ac:dyDescent="0.25">
      <c r="A221" s="32" t="s">
        <v>4</v>
      </c>
      <c r="B221" s="33"/>
      <c r="C221" s="16">
        <v>1360</v>
      </c>
      <c r="D221" s="30" t="str">
        <f t="shared" si="3"/>
        <v/>
      </c>
      <c r="E221" s="13"/>
      <c r="F221" s="13"/>
      <c r="G221" s="16"/>
      <c r="H221" s="14"/>
    </row>
    <row r="222" spans="1:8" ht="17.399999999999999" x14ac:dyDescent="0.25">
      <c r="A222" s="34" t="s">
        <v>110</v>
      </c>
      <c r="B222" s="35"/>
      <c r="C222" s="9">
        <v>49.48</v>
      </c>
      <c r="D222" s="29">
        <f t="shared" si="3"/>
        <v>0.49479999999999996</v>
      </c>
      <c r="E222" s="10"/>
      <c r="F222" s="10"/>
      <c r="G222" s="9"/>
      <c r="H222" s="11"/>
    </row>
    <row r="223" spans="1:8" ht="17.399999999999999" x14ac:dyDescent="0.25">
      <c r="A223" s="32" t="s">
        <v>4</v>
      </c>
      <c r="B223" s="33"/>
      <c r="C223" s="12">
        <v>100</v>
      </c>
      <c r="D223" s="30" t="str">
        <f t="shared" si="3"/>
        <v/>
      </c>
      <c r="E223" s="13"/>
      <c r="F223" s="13"/>
      <c r="G223" s="12"/>
      <c r="H223" s="14"/>
    </row>
    <row r="224" spans="1:8" ht="17.399999999999999" x14ac:dyDescent="0.25">
      <c r="A224" s="34" t="s">
        <v>111</v>
      </c>
      <c r="B224" s="35"/>
      <c r="C224" s="9">
        <v>73.53</v>
      </c>
      <c r="D224" s="29">
        <f t="shared" si="3"/>
        <v>6.1275000000000004</v>
      </c>
      <c r="E224" s="10"/>
      <c r="F224" s="10"/>
      <c r="G224" s="9"/>
      <c r="H224" s="11"/>
    </row>
    <row r="225" spans="1:8" ht="17.399999999999999" x14ac:dyDescent="0.25">
      <c r="A225" s="32" t="s">
        <v>4</v>
      </c>
      <c r="B225" s="33"/>
      <c r="C225" s="12">
        <v>12</v>
      </c>
      <c r="D225" s="30" t="str">
        <f t="shared" si="3"/>
        <v/>
      </c>
      <c r="E225" s="13"/>
      <c r="F225" s="13"/>
      <c r="G225" s="12"/>
      <c r="H225" s="14"/>
    </row>
    <row r="226" spans="1:8" ht="17.399999999999999" x14ac:dyDescent="0.25">
      <c r="A226" s="34" t="s">
        <v>112</v>
      </c>
      <c r="B226" s="35"/>
      <c r="C226" s="9">
        <v>903.64</v>
      </c>
      <c r="D226" s="29">
        <f t="shared" si="3"/>
        <v>69.510769230769228</v>
      </c>
      <c r="E226" s="10"/>
      <c r="F226" s="10"/>
      <c r="G226" s="9"/>
      <c r="H226" s="11"/>
    </row>
    <row r="227" spans="1:8" ht="17.399999999999999" x14ac:dyDescent="0.25">
      <c r="A227" s="32" t="s">
        <v>4</v>
      </c>
      <c r="B227" s="33"/>
      <c r="C227" s="12">
        <v>13</v>
      </c>
      <c r="D227" s="30" t="str">
        <f t="shared" si="3"/>
        <v/>
      </c>
      <c r="E227" s="13"/>
      <c r="F227" s="13"/>
      <c r="G227" s="12"/>
      <c r="H227" s="14"/>
    </row>
    <row r="228" spans="1:8" ht="17.399999999999999" x14ac:dyDescent="0.25">
      <c r="A228" s="34" t="s">
        <v>113</v>
      </c>
      <c r="B228" s="35"/>
      <c r="C228" s="9">
        <v>76.66</v>
      </c>
      <c r="D228" s="29">
        <f t="shared" si="3"/>
        <v>38.33</v>
      </c>
      <c r="E228" s="10"/>
      <c r="F228" s="10"/>
      <c r="G228" s="9"/>
      <c r="H228" s="11"/>
    </row>
    <row r="229" spans="1:8" ht="17.399999999999999" x14ac:dyDescent="0.25">
      <c r="A229" s="32" t="s">
        <v>4</v>
      </c>
      <c r="B229" s="33"/>
      <c r="C229" s="12">
        <v>2</v>
      </c>
      <c r="D229" s="30" t="str">
        <f t="shared" si="3"/>
        <v/>
      </c>
      <c r="E229" s="13"/>
      <c r="F229" s="13"/>
      <c r="G229" s="12"/>
      <c r="H229" s="14"/>
    </row>
    <row r="230" spans="1:8" ht="17.399999999999999" x14ac:dyDescent="0.25">
      <c r="A230" s="34" t="s">
        <v>114</v>
      </c>
      <c r="B230" s="35"/>
      <c r="C230" s="15">
        <v>11660.43</v>
      </c>
      <c r="D230" s="29">
        <f t="shared" si="3"/>
        <v>5.6907906295754032</v>
      </c>
      <c r="E230" s="10"/>
      <c r="F230" s="10"/>
      <c r="G230" s="15"/>
      <c r="H230" s="11"/>
    </row>
    <row r="231" spans="1:8" ht="17.399999999999999" x14ac:dyDescent="0.25">
      <c r="A231" s="32" t="s">
        <v>4</v>
      </c>
      <c r="B231" s="33"/>
      <c r="C231" s="16">
        <v>2049</v>
      </c>
      <c r="D231" s="30" t="str">
        <f t="shared" si="3"/>
        <v/>
      </c>
      <c r="E231" s="13"/>
      <c r="F231" s="13"/>
      <c r="G231" s="16"/>
      <c r="H231" s="14"/>
    </row>
    <row r="232" spans="1:8" ht="17.399999999999999" x14ac:dyDescent="0.25">
      <c r="A232" s="34" t="s">
        <v>115</v>
      </c>
      <c r="B232" s="35"/>
      <c r="C232" s="15">
        <v>10405.209999999999</v>
      </c>
      <c r="D232" s="29">
        <f t="shared" si="3"/>
        <v>2.9900028735632183</v>
      </c>
      <c r="E232" s="10"/>
      <c r="F232" s="10"/>
      <c r="G232" s="15"/>
      <c r="H232" s="11"/>
    </row>
    <row r="233" spans="1:8" ht="17.399999999999999" x14ac:dyDescent="0.25">
      <c r="A233" s="32" t="s">
        <v>4</v>
      </c>
      <c r="B233" s="33"/>
      <c r="C233" s="16">
        <v>3480</v>
      </c>
      <c r="D233" s="30" t="str">
        <f t="shared" si="3"/>
        <v/>
      </c>
      <c r="E233" s="13"/>
      <c r="F233" s="13"/>
      <c r="G233" s="16"/>
      <c r="H233" s="14"/>
    </row>
    <row r="234" spans="1:8" ht="17.399999999999999" x14ac:dyDescent="0.25">
      <c r="A234" s="34" t="s">
        <v>116</v>
      </c>
      <c r="B234" s="35"/>
      <c r="C234" s="15">
        <v>3381.44</v>
      </c>
      <c r="D234" s="29">
        <f t="shared" si="3"/>
        <v>39.78164705882353</v>
      </c>
      <c r="E234" s="10"/>
      <c r="F234" s="10"/>
      <c r="G234" s="15"/>
      <c r="H234" s="11"/>
    </row>
    <row r="235" spans="1:8" ht="17.399999999999999" x14ac:dyDescent="0.25">
      <c r="A235" s="32" t="s">
        <v>4</v>
      </c>
      <c r="B235" s="33"/>
      <c r="C235" s="12">
        <v>85</v>
      </c>
      <c r="D235" s="30" t="str">
        <f t="shared" si="3"/>
        <v/>
      </c>
      <c r="E235" s="13"/>
      <c r="F235" s="13"/>
      <c r="G235" s="12"/>
      <c r="H235" s="14"/>
    </row>
    <row r="236" spans="1:8" ht="17.399999999999999" x14ac:dyDescent="0.25">
      <c r="A236" s="34" t="s">
        <v>117</v>
      </c>
      <c r="B236" s="35"/>
      <c r="C236" s="15">
        <v>1024.02</v>
      </c>
      <c r="D236" s="29">
        <f t="shared" si="3"/>
        <v>46.546363636363637</v>
      </c>
      <c r="E236" s="10"/>
      <c r="F236" s="10"/>
      <c r="G236" s="15"/>
      <c r="H236" s="11"/>
    </row>
    <row r="237" spans="1:8" ht="17.399999999999999" x14ac:dyDescent="0.25">
      <c r="A237" s="32" t="s">
        <v>4</v>
      </c>
      <c r="B237" s="33"/>
      <c r="C237" s="12">
        <v>22</v>
      </c>
      <c r="D237" s="30" t="str">
        <f t="shared" si="3"/>
        <v/>
      </c>
      <c r="E237" s="13"/>
      <c r="F237" s="13"/>
      <c r="G237" s="12"/>
      <c r="H237" s="14"/>
    </row>
    <row r="238" spans="1:8" ht="17.399999999999999" x14ac:dyDescent="0.25">
      <c r="A238" s="34" t="s">
        <v>118</v>
      </c>
      <c r="B238" s="35"/>
      <c r="C238" s="9">
        <v>418.42</v>
      </c>
      <c r="D238" s="29">
        <f t="shared" si="3"/>
        <v>46.49111111111111</v>
      </c>
      <c r="E238" s="10"/>
      <c r="F238" s="10"/>
      <c r="G238" s="9"/>
      <c r="H238" s="11"/>
    </row>
    <row r="239" spans="1:8" ht="17.399999999999999" x14ac:dyDescent="0.25">
      <c r="A239" s="32" t="s">
        <v>4</v>
      </c>
      <c r="B239" s="33"/>
      <c r="C239" s="12">
        <v>9</v>
      </c>
      <c r="D239" s="30" t="str">
        <f t="shared" si="3"/>
        <v/>
      </c>
      <c r="E239" s="13"/>
      <c r="F239" s="13"/>
      <c r="G239" s="12"/>
      <c r="H239" s="14"/>
    </row>
    <row r="240" spans="1:8" ht="17.399999999999999" x14ac:dyDescent="0.25">
      <c r="A240" s="34" t="s">
        <v>119</v>
      </c>
      <c r="B240" s="35"/>
      <c r="C240" s="9">
        <v>675</v>
      </c>
      <c r="D240" s="29">
        <f t="shared" si="3"/>
        <v>0.13500000000000001</v>
      </c>
      <c r="E240" s="10"/>
      <c r="F240" s="10"/>
      <c r="G240" s="9"/>
      <c r="H240" s="11"/>
    </row>
    <row r="241" spans="1:8" ht="17.399999999999999" x14ac:dyDescent="0.25">
      <c r="A241" s="32" t="s">
        <v>4</v>
      </c>
      <c r="B241" s="33"/>
      <c r="C241" s="16">
        <v>5000</v>
      </c>
      <c r="D241" s="30" t="str">
        <f t="shared" si="3"/>
        <v/>
      </c>
      <c r="E241" s="13"/>
      <c r="F241" s="13"/>
      <c r="G241" s="16"/>
      <c r="H241" s="14"/>
    </row>
    <row r="242" spans="1:8" ht="17.399999999999999" x14ac:dyDescent="0.25">
      <c r="A242" s="34" t="s">
        <v>120</v>
      </c>
      <c r="B242" s="35"/>
      <c r="C242" s="9">
        <v>600</v>
      </c>
      <c r="D242" s="29">
        <f t="shared" si="3"/>
        <v>1.5</v>
      </c>
      <c r="E242" s="10"/>
      <c r="F242" s="10"/>
      <c r="G242" s="9"/>
      <c r="H242" s="11"/>
    </row>
    <row r="243" spans="1:8" ht="17.399999999999999" x14ac:dyDescent="0.25">
      <c r="A243" s="32" t="s">
        <v>4</v>
      </c>
      <c r="B243" s="33"/>
      <c r="C243" s="12">
        <v>400</v>
      </c>
      <c r="D243" s="30" t="str">
        <f t="shared" si="3"/>
        <v/>
      </c>
      <c r="E243" s="13"/>
      <c r="F243" s="13"/>
      <c r="G243" s="12"/>
      <c r="H243" s="14"/>
    </row>
    <row r="244" spans="1:8" ht="17.399999999999999" x14ac:dyDescent="0.25">
      <c r="A244" s="34" t="s">
        <v>121</v>
      </c>
      <c r="B244" s="35"/>
      <c r="C244" s="15">
        <v>19080</v>
      </c>
      <c r="D244" s="29">
        <f t="shared" si="3"/>
        <v>47.7</v>
      </c>
      <c r="E244" s="10"/>
      <c r="F244" s="10"/>
      <c r="G244" s="15"/>
      <c r="H244" s="11"/>
    </row>
    <row r="245" spans="1:8" ht="17.399999999999999" x14ac:dyDescent="0.25">
      <c r="A245" s="32" t="s">
        <v>4</v>
      </c>
      <c r="B245" s="33"/>
      <c r="C245" s="12">
        <v>400</v>
      </c>
      <c r="D245" s="30" t="str">
        <f t="shared" si="3"/>
        <v/>
      </c>
      <c r="E245" s="13"/>
      <c r="F245" s="13"/>
      <c r="G245" s="12"/>
      <c r="H245" s="14"/>
    </row>
    <row r="246" spans="1:8" ht="17.399999999999999" x14ac:dyDescent="0.25">
      <c r="A246" s="34" t="s">
        <v>122</v>
      </c>
      <c r="B246" s="35"/>
      <c r="C246" s="15">
        <v>6629.04</v>
      </c>
      <c r="D246" s="29">
        <f t="shared" si="3"/>
        <v>11.048399999999999</v>
      </c>
      <c r="E246" s="10"/>
      <c r="F246" s="10"/>
      <c r="G246" s="15"/>
      <c r="H246" s="11"/>
    </row>
    <row r="247" spans="1:8" ht="17.399999999999999" x14ac:dyDescent="0.25">
      <c r="A247" s="32" t="s">
        <v>4</v>
      </c>
      <c r="B247" s="33"/>
      <c r="C247" s="12">
        <v>600</v>
      </c>
      <c r="D247" s="30" t="str">
        <f t="shared" si="3"/>
        <v/>
      </c>
      <c r="E247" s="13"/>
      <c r="F247" s="13"/>
      <c r="G247" s="12"/>
      <c r="H247" s="14"/>
    </row>
    <row r="248" spans="1:8" ht="17.399999999999999" x14ac:dyDescent="0.25">
      <c r="A248" s="34" t="s">
        <v>123</v>
      </c>
      <c r="B248" s="35"/>
      <c r="C248" s="15">
        <v>1344.6</v>
      </c>
      <c r="D248" s="29">
        <f t="shared" si="3"/>
        <v>22.41</v>
      </c>
      <c r="E248" s="10"/>
      <c r="F248" s="10"/>
      <c r="G248" s="15"/>
      <c r="H248" s="11"/>
    </row>
    <row r="249" spans="1:8" ht="17.399999999999999" x14ac:dyDescent="0.25">
      <c r="A249" s="32" t="s">
        <v>4</v>
      </c>
      <c r="B249" s="33"/>
      <c r="C249" s="12">
        <v>60</v>
      </c>
      <c r="D249" s="30" t="str">
        <f t="shared" si="3"/>
        <v/>
      </c>
      <c r="E249" s="13"/>
      <c r="F249" s="13"/>
      <c r="G249" s="12"/>
      <c r="H249" s="14"/>
    </row>
    <row r="250" spans="1:8" ht="17.399999999999999" x14ac:dyDescent="0.25">
      <c r="A250" s="34" t="s">
        <v>124</v>
      </c>
      <c r="B250" s="35"/>
      <c r="C250" s="15">
        <v>4197.6000000000004</v>
      </c>
      <c r="D250" s="29">
        <f t="shared" si="3"/>
        <v>47.7</v>
      </c>
      <c r="E250" s="10"/>
      <c r="F250" s="10"/>
      <c r="G250" s="15"/>
      <c r="H250" s="11"/>
    </row>
    <row r="251" spans="1:8" ht="17.399999999999999" x14ac:dyDescent="0.25">
      <c r="A251" s="32" t="s">
        <v>4</v>
      </c>
      <c r="B251" s="33"/>
      <c r="C251" s="12">
        <v>88</v>
      </c>
      <c r="D251" s="30" t="str">
        <f t="shared" si="3"/>
        <v/>
      </c>
      <c r="E251" s="13"/>
      <c r="F251" s="13"/>
      <c r="G251" s="12"/>
      <c r="H251" s="14"/>
    </row>
    <row r="252" spans="1:8" ht="17.399999999999999" x14ac:dyDescent="0.25">
      <c r="A252" s="34" t="s">
        <v>125</v>
      </c>
      <c r="B252" s="35"/>
      <c r="C252" s="15">
        <v>1613.52</v>
      </c>
      <c r="D252" s="29">
        <f t="shared" si="3"/>
        <v>22.41</v>
      </c>
      <c r="E252" s="10"/>
      <c r="F252" s="10"/>
      <c r="G252" s="15"/>
      <c r="H252" s="11"/>
    </row>
    <row r="253" spans="1:8" ht="17.399999999999999" x14ac:dyDescent="0.25">
      <c r="A253" s="32" t="s">
        <v>4</v>
      </c>
      <c r="B253" s="33"/>
      <c r="C253" s="12">
        <v>72</v>
      </c>
      <c r="D253" s="30" t="str">
        <f t="shared" si="3"/>
        <v/>
      </c>
      <c r="E253" s="13"/>
      <c r="F253" s="13"/>
      <c r="G253" s="12"/>
      <c r="H253" s="14"/>
    </row>
    <row r="254" spans="1:8" ht="17.399999999999999" x14ac:dyDescent="0.25">
      <c r="A254" s="34" t="s">
        <v>126</v>
      </c>
      <c r="B254" s="35"/>
      <c r="C254" s="9">
        <v>491.18</v>
      </c>
      <c r="D254" s="29">
        <f t="shared" si="3"/>
        <v>4.9118000000000004</v>
      </c>
      <c r="E254" s="10"/>
      <c r="F254" s="10"/>
      <c r="G254" s="9"/>
      <c r="H254" s="11"/>
    </row>
    <row r="255" spans="1:8" ht="17.399999999999999" x14ac:dyDescent="0.25">
      <c r="A255" s="32" t="s">
        <v>4</v>
      </c>
      <c r="B255" s="33"/>
      <c r="C255" s="12">
        <v>100</v>
      </c>
      <c r="D255" s="30" t="str">
        <f t="shared" si="3"/>
        <v/>
      </c>
      <c r="E255" s="13"/>
      <c r="F255" s="13"/>
      <c r="G255" s="12"/>
      <c r="H255" s="14"/>
    </row>
    <row r="256" spans="1:8" ht="17.399999999999999" x14ac:dyDescent="0.25">
      <c r="A256" s="34" t="s">
        <v>127</v>
      </c>
      <c r="B256" s="35"/>
      <c r="C256" s="15">
        <v>2406.14</v>
      </c>
      <c r="D256" s="29">
        <f t="shared" si="3"/>
        <v>3.8808709677419353</v>
      </c>
      <c r="E256" s="10"/>
      <c r="F256" s="10"/>
      <c r="G256" s="15"/>
      <c r="H256" s="11"/>
    </row>
    <row r="257" spans="1:8" ht="17.399999999999999" x14ac:dyDescent="0.25">
      <c r="A257" s="32" t="s">
        <v>4</v>
      </c>
      <c r="B257" s="33"/>
      <c r="C257" s="12">
        <v>620</v>
      </c>
      <c r="D257" s="30" t="str">
        <f t="shared" si="3"/>
        <v/>
      </c>
      <c r="E257" s="13"/>
      <c r="F257" s="13"/>
      <c r="G257" s="12"/>
      <c r="H257" s="14"/>
    </row>
    <row r="258" spans="1:8" ht="17.399999999999999" x14ac:dyDescent="0.25">
      <c r="A258" s="34" t="s">
        <v>128</v>
      </c>
      <c r="B258" s="35"/>
      <c r="C258" s="9">
        <v>387.81</v>
      </c>
      <c r="D258" s="29">
        <f t="shared" si="3"/>
        <v>6.4634999999999998</v>
      </c>
      <c r="E258" s="10"/>
      <c r="F258" s="10"/>
      <c r="G258" s="9"/>
      <c r="H258" s="11"/>
    </row>
    <row r="259" spans="1:8" ht="17.399999999999999" x14ac:dyDescent="0.25">
      <c r="A259" s="32" t="s">
        <v>4</v>
      </c>
      <c r="B259" s="33"/>
      <c r="C259" s="12">
        <v>60</v>
      </c>
      <c r="D259" s="30" t="str">
        <f t="shared" si="3"/>
        <v/>
      </c>
      <c r="E259" s="13"/>
      <c r="F259" s="13"/>
      <c r="G259" s="12"/>
      <c r="H259" s="14"/>
    </row>
    <row r="260" spans="1:8" ht="17.399999999999999" x14ac:dyDescent="0.25">
      <c r="A260" s="34" t="s">
        <v>129</v>
      </c>
      <c r="B260" s="35"/>
      <c r="C260" s="15">
        <v>15271.48</v>
      </c>
      <c r="D260" s="29">
        <f t="shared" si="3"/>
        <v>7.4860196078431374</v>
      </c>
      <c r="E260" s="10"/>
      <c r="F260" s="10"/>
      <c r="G260" s="15"/>
      <c r="H260" s="11"/>
    </row>
    <row r="261" spans="1:8" ht="17.399999999999999" x14ac:dyDescent="0.25">
      <c r="A261" s="32" t="s">
        <v>4</v>
      </c>
      <c r="B261" s="33"/>
      <c r="C261" s="16">
        <v>2040</v>
      </c>
      <c r="D261" s="30" t="str">
        <f t="shared" si="3"/>
        <v/>
      </c>
      <c r="E261" s="13"/>
      <c r="F261" s="13"/>
      <c r="G261" s="16"/>
      <c r="H261" s="14"/>
    </row>
    <row r="262" spans="1:8" ht="17.399999999999999" x14ac:dyDescent="0.25">
      <c r="A262" s="34" t="s">
        <v>130</v>
      </c>
      <c r="B262" s="35"/>
      <c r="C262" s="9">
        <v>473.13</v>
      </c>
      <c r="D262" s="29">
        <f t="shared" si="3"/>
        <v>7.8854999999999995</v>
      </c>
      <c r="E262" s="10"/>
      <c r="F262" s="10"/>
      <c r="G262" s="9"/>
      <c r="H262" s="11"/>
    </row>
    <row r="263" spans="1:8" ht="17.399999999999999" x14ac:dyDescent="0.25">
      <c r="A263" s="32" t="s">
        <v>4</v>
      </c>
      <c r="B263" s="33"/>
      <c r="C263" s="12">
        <v>60</v>
      </c>
      <c r="D263" s="30" t="str">
        <f t="shared" si="3"/>
        <v/>
      </c>
      <c r="E263" s="13"/>
      <c r="F263" s="13"/>
      <c r="G263" s="12"/>
      <c r="H263" s="14"/>
    </row>
    <row r="264" spans="1:8" ht="17.399999999999999" x14ac:dyDescent="0.25">
      <c r="A264" s="34" t="s">
        <v>131</v>
      </c>
      <c r="B264" s="35"/>
      <c r="C264" s="15">
        <v>1134.4000000000001</v>
      </c>
      <c r="D264" s="29">
        <f t="shared" si="3"/>
        <v>27.009523809523813</v>
      </c>
      <c r="E264" s="10"/>
      <c r="F264" s="10"/>
      <c r="G264" s="15"/>
      <c r="H264" s="11"/>
    </row>
    <row r="265" spans="1:8" ht="17.399999999999999" x14ac:dyDescent="0.25">
      <c r="A265" s="32" t="s">
        <v>4</v>
      </c>
      <c r="B265" s="33"/>
      <c r="C265" s="12">
        <v>42</v>
      </c>
      <c r="D265" s="30" t="str">
        <f t="shared" si="3"/>
        <v/>
      </c>
      <c r="E265" s="13"/>
      <c r="F265" s="13"/>
      <c r="G265" s="12"/>
      <c r="H265" s="14"/>
    </row>
    <row r="266" spans="1:8" ht="17.399999999999999" x14ac:dyDescent="0.25">
      <c r="A266" s="34" t="s">
        <v>132</v>
      </c>
      <c r="B266" s="35"/>
      <c r="C266" s="9">
        <v>204.11</v>
      </c>
      <c r="D266" s="29">
        <f t="shared" ref="D266:D329" si="4">IF($A267="Кол-во",IFERROR($C266/$C267,""),"")</f>
        <v>25.513750000000002</v>
      </c>
      <c r="E266" s="10"/>
      <c r="F266" s="10"/>
      <c r="G266" s="9"/>
      <c r="H266" s="11"/>
    </row>
    <row r="267" spans="1:8" ht="17.399999999999999" x14ac:dyDescent="0.25">
      <c r="A267" s="32" t="s">
        <v>4</v>
      </c>
      <c r="B267" s="33"/>
      <c r="C267" s="12">
        <v>8</v>
      </c>
      <c r="D267" s="30" t="str">
        <f t="shared" si="4"/>
        <v/>
      </c>
      <c r="E267" s="13"/>
      <c r="F267" s="13"/>
      <c r="G267" s="12"/>
      <c r="H267" s="14"/>
    </row>
    <row r="268" spans="1:8" ht="17.399999999999999" x14ac:dyDescent="0.25">
      <c r="A268" s="34" t="s">
        <v>133</v>
      </c>
      <c r="B268" s="35"/>
      <c r="C268" s="15">
        <v>1030.08</v>
      </c>
      <c r="D268" s="29">
        <f t="shared" si="4"/>
        <v>1.2262857142857142</v>
      </c>
      <c r="E268" s="10"/>
      <c r="F268" s="10"/>
      <c r="G268" s="15"/>
      <c r="H268" s="11"/>
    </row>
    <row r="269" spans="1:8" ht="17.399999999999999" x14ac:dyDescent="0.25">
      <c r="A269" s="32" t="s">
        <v>4</v>
      </c>
      <c r="B269" s="33"/>
      <c r="C269" s="12">
        <v>840</v>
      </c>
      <c r="D269" s="30" t="str">
        <f t="shared" si="4"/>
        <v/>
      </c>
      <c r="E269" s="13"/>
      <c r="F269" s="13"/>
      <c r="G269" s="12"/>
      <c r="H269" s="14"/>
    </row>
    <row r="270" spans="1:8" ht="17.399999999999999" x14ac:dyDescent="0.25">
      <c r="A270" s="34" t="s">
        <v>134</v>
      </c>
      <c r="B270" s="35"/>
      <c r="C270" s="9">
        <v>358.51</v>
      </c>
      <c r="D270" s="29">
        <f t="shared" si="4"/>
        <v>6.4019642857142856</v>
      </c>
      <c r="E270" s="10"/>
      <c r="F270" s="10"/>
      <c r="G270" s="9"/>
      <c r="H270" s="11"/>
    </row>
    <row r="271" spans="1:8" ht="17.399999999999999" x14ac:dyDescent="0.25">
      <c r="A271" s="32" t="s">
        <v>4</v>
      </c>
      <c r="B271" s="33"/>
      <c r="C271" s="12">
        <v>56</v>
      </c>
      <c r="D271" s="30" t="str">
        <f t="shared" si="4"/>
        <v/>
      </c>
      <c r="E271" s="13"/>
      <c r="F271" s="13"/>
      <c r="G271" s="12"/>
      <c r="H271" s="14"/>
    </row>
    <row r="272" spans="1:8" ht="17.399999999999999" x14ac:dyDescent="0.25">
      <c r="A272" s="34" t="s">
        <v>135</v>
      </c>
      <c r="B272" s="35"/>
      <c r="C272" s="9">
        <v>164.55</v>
      </c>
      <c r="D272" s="29">
        <f t="shared" si="4"/>
        <v>10.97</v>
      </c>
      <c r="E272" s="10"/>
      <c r="F272" s="10"/>
      <c r="G272" s="9"/>
      <c r="H272" s="11"/>
    </row>
    <row r="273" spans="1:8" ht="17.399999999999999" x14ac:dyDescent="0.25">
      <c r="A273" s="32" t="s">
        <v>4</v>
      </c>
      <c r="B273" s="33"/>
      <c r="C273" s="12">
        <v>15</v>
      </c>
      <c r="D273" s="30" t="str">
        <f t="shared" si="4"/>
        <v/>
      </c>
      <c r="E273" s="13"/>
      <c r="F273" s="13"/>
      <c r="G273" s="12"/>
      <c r="H273" s="14"/>
    </row>
    <row r="274" spans="1:8" ht="17.399999999999999" x14ac:dyDescent="0.25">
      <c r="A274" s="34" t="s">
        <v>136</v>
      </c>
      <c r="B274" s="35"/>
      <c r="C274" s="9">
        <v>520.66</v>
      </c>
      <c r="D274" s="29">
        <f t="shared" si="4"/>
        <v>0.17355333333333331</v>
      </c>
      <c r="E274" s="10"/>
      <c r="F274" s="10"/>
      <c r="G274" s="9"/>
      <c r="H274" s="11"/>
    </row>
    <row r="275" spans="1:8" ht="17.399999999999999" x14ac:dyDescent="0.25">
      <c r="A275" s="32" t="s">
        <v>4</v>
      </c>
      <c r="B275" s="33"/>
      <c r="C275" s="16">
        <v>3000</v>
      </c>
      <c r="D275" s="30" t="str">
        <f t="shared" si="4"/>
        <v/>
      </c>
      <c r="E275" s="13"/>
      <c r="F275" s="13"/>
      <c r="G275" s="16"/>
      <c r="H275" s="14"/>
    </row>
    <row r="276" spans="1:8" ht="17.399999999999999" x14ac:dyDescent="0.25">
      <c r="A276" s="34" t="s">
        <v>137</v>
      </c>
      <c r="B276" s="35"/>
      <c r="C276" s="15">
        <v>1535.11</v>
      </c>
      <c r="D276" s="29">
        <f t="shared" si="4"/>
        <v>0.49679935275080905</v>
      </c>
      <c r="E276" s="10"/>
      <c r="F276" s="10"/>
      <c r="G276" s="15"/>
      <c r="H276" s="11"/>
    </row>
    <row r="277" spans="1:8" ht="17.399999999999999" x14ac:dyDescent="0.25">
      <c r="A277" s="32" t="s">
        <v>4</v>
      </c>
      <c r="B277" s="33"/>
      <c r="C277" s="16">
        <v>3090</v>
      </c>
      <c r="D277" s="30" t="str">
        <f t="shared" si="4"/>
        <v/>
      </c>
      <c r="E277" s="13"/>
      <c r="F277" s="13"/>
      <c r="G277" s="16"/>
      <c r="H277" s="14"/>
    </row>
    <row r="278" spans="1:8" ht="17.399999999999999" x14ac:dyDescent="0.25">
      <c r="A278" s="34" t="s">
        <v>138</v>
      </c>
      <c r="B278" s="35"/>
      <c r="C278" s="9">
        <v>905.01</v>
      </c>
      <c r="D278" s="29">
        <f t="shared" si="4"/>
        <v>0.45250499999999999</v>
      </c>
      <c r="E278" s="10"/>
      <c r="F278" s="10"/>
      <c r="G278" s="9"/>
      <c r="H278" s="11"/>
    </row>
    <row r="279" spans="1:8" ht="17.399999999999999" x14ac:dyDescent="0.25">
      <c r="A279" s="32" t="s">
        <v>4</v>
      </c>
      <c r="B279" s="33"/>
      <c r="C279" s="16">
        <v>2000</v>
      </c>
      <c r="D279" s="30" t="str">
        <f t="shared" si="4"/>
        <v/>
      </c>
      <c r="E279" s="13"/>
      <c r="F279" s="13"/>
      <c r="G279" s="16"/>
      <c r="H279" s="14"/>
    </row>
    <row r="280" spans="1:8" ht="17.399999999999999" x14ac:dyDescent="0.25">
      <c r="A280" s="34" t="s">
        <v>139</v>
      </c>
      <c r="B280" s="35"/>
      <c r="C280" s="9">
        <v>304.27999999999997</v>
      </c>
      <c r="D280" s="29">
        <f t="shared" si="4"/>
        <v>2.173428571428571</v>
      </c>
      <c r="E280" s="10"/>
      <c r="F280" s="10"/>
      <c r="G280" s="9"/>
      <c r="H280" s="11"/>
    </row>
    <row r="281" spans="1:8" ht="17.399999999999999" x14ac:dyDescent="0.25">
      <c r="A281" s="32" t="s">
        <v>4</v>
      </c>
      <c r="B281" s="33"/>
      <c r="C281" s="12">
        <v>140</v>
      </c>
      <c r="D281" s="30" t="str">
        <f t="shared" si="4"/>
        <v/>
      </c>
      <c r="E281" s="13"/>
      <c r="F281" s="13"/>
      <c r="G281" s="12"/>
      <c r="H281" s="14"/>
    </row>
    <row r="282" spans="1:8" ht="17.399999999999999" x14ac:dyDescent="0.25">
      <c r="A282" s="34" t="s">
        <v>140</v>
      </c>
      <c r="B282" s="35"/>
      <c r="C282" s="9">
        <v>75.599999999999994</v>
      </c>
      <c r="D282" s="29">
        <f t="shared" si="4"/>
        <v>37.799999999999997</v>
      </c>
      <c r="E282" s="10"/>
      <c r="F282" s="10"/>
      <c r="G282" s="9"/>
      <c r="H282" s="11"/>
    </row>
    <row r="283" spans="1:8" ht="17.399999999999999" x14ac:dyDescent="0.25">
      <c r="A283" s="32" t="s">
        <v>4</v>
      </c>
      <c r="B283" s="33"/>
      <c r="C283" s="12">
        <v>2</v>
      </c>
      <c r="D283" s="30" t="str">
        <f t="shared" si="4"/>
        <v/>
      </c>
      <c r="E283" s="13"/>
      <c r="F283" s="13"/>
      <c r="G283" s="12"/>
      <c r="H283" s="14"/>
    </row>
    <row r="284" spans="1:8" ht="17.399999999999999" x14ac:dyDescent="0.25">
      <c r="A284" s="34" t="s">
        <v>141</v>
      </c>
      <c r="B284" s="35"/>
      <c r="C284" s="9">
        <v>25.08</v>
      </c>
      <c r="D284" s="29">
        <f t="shared" si="4"/>
        <v>1.254</v>
      </c>
      <c r="E284" s="10"/>
      <c r="F284" s="10"/>
      <c r="G284" s="9"/>
      <c r="H284" s="11"/>
    </row>
    <row r="285" spans="1:8" ht="17.399999999999999" x14ac:dyDescent="0.25">
      <c r="A285" s="32" t="s">
        <v>4</v>
      </c>
      <c r="B285" s="33"/>
      <c r="C285" s="12">
        <v>20</v>
      </c>
      <c r="D285" s="30" t="str">
        <f t="shared" si="4"/>
        <v/>
      </c>
      <c r="E285" s="13"/>
      <c r="F285" s="13"/>
      <c r="G285" s="12"/>
      <c r="H285" s="14"/>
    </row>
    <row r="286" spans="1:8" ht="17.399999999999999" x14ac:dyDescent="0.25">
      <c r="A286" s="34" t="s">
        <v>142</v>
      </c>
      <c r="B286" s="35"/>
      <c r="C286" s="9">
        <v>886.19</v>
      </c>
      <c r="D286" s="29">
        <f t="shared" si="4"/>
        <v>0.30142517006802722</v>
      </c>
      <c r="E286" s="10"/>
      <c r="F286" s="10"/>
      <c r="G286" s="9"/>
      <c r="H286" s="11"/>
    </row>
    <row r="287" spans="1:8" ht="17.399999999999999" x14ac:dyDescent="0.25">
      <c r="A287" s="32" t="s">
        <v>4</v>
      </c>
      <c r="B287" s="33"/>
      <c r="C287" s="16">
        <v>2940</v>
      </c>
      <c r="D287" s="30" t="str">
        <f t="shared" si="4"/>
        <v/>
      </c>
      <c r="E287" s="13"/>
      <c r="F287" s="13"/>
      <c r="G287" s="16"/>
      <c r="H287" s="14"/>
    </row>
    <row r="288" spans="1:8" ht="17.399999999999999" x14ac:dyDescent="0.25">
      <c r="A288" s="34" t="s">
        <v>143</v>
      </c>
      <c r="B288" s="35"/>
      <c r="C288" s="9">
        <v>960.57</v>
      </c>
      <c r="D288" s="29">
        <f t="shared" si="4"/>
        <v>0.23717777777777779</v>
      </c>
      <c r="E288" s="10"/>
      <c r="F288" s="10"/>
      <c r="G288" s="9"/>
      <c r="H288" s="11"/>
    </row>
    <row r="289" spans="1:8" ht="17.399999999999999" x14ac:dyDescent="0.25">
      <c r="A289" s="32" t="s">
        <v>4</v>
      </c>
      <c r="B289" s="33"/>
      <c r="C289" s="16">
        <v>4050</v>
      </c>
      <c r="D289" s="30" t="str">
        <f t="shared" si="4"/>
        <v/>
      </c>
      <c r="E289" s="13"/>
      <c r="F289" s="13"/>
      <c r="G289" s="16"/>
      <c r="H289" s="14"/>
    </row>
    <row r="290" spans="1:8" ht="17.399999999999999" x14ac:dyDescent="0.25">
      <c r="A290" s="34" t="s">
        <v>144</v>
      </c>
      <c r="B290" s="35"/>
      <c r="C290" s="9">
        <v>48</v>
      </c>
      <c r="D290" s="29">
        <f t="shared" si="4"/>
        <v>0.4</v>
      </c>
      <c r="E290" s="10"/>
      <c r="F290" s="10"/>
      <c r="G290" s="9"/>
      <c r="H290" s="11"/>
    </row>
    <row r="291" spans="1:8" ht="17.399999999999999" x14ac:dyDescent="0.25">
      <c r="A291" s="32" t="s">
        <v>4</v>
      </c>
      <c r="B291" s="33"/>
      <c r="C291" s="12">
        <v>120</v>
      </c>
      <c r="D291" s="30" t="str">
        <f t="shared" si="4"/>
        <v/>
      </c>
      <c r="E291" s="13"/>
      <c r="F291" s="13"/>
      <c r="G291" s="12"/>
      <c r="H291" s="14"/>
    </row>
    <row r="292" spans="1:8" ht="17.399999999999999" x14ac:dyDescent="0.25">
      <c r="A292" s="34" t="s">
        <v>145</v>
      </c>
      <c r="B292" s="35"/>
      <c r="C292" s="9">
        <v>216.03</v>
      </c>
      <c r="D292" s="29">
        <f t="shared" si="4"/>
        <v>0.40005555555555555</v>
      </c>
      <c r="E292" s="10"/>
      <c r="F292" s="10"/>
      <c r="G292" s="9"/>
      <c r="H292" s="11"/>
    </row>
    <row r="293" spans="1:8" ht="17.399999999999999" x14ac:dyDescent="0.25">
      <c r="A293" s="32" t="s">
        <v>4</v>
      </c>
      <c r="B293" s="33"/>
      <c r="C293" s="12">
        <v>540</v>
      </c>
      <c r="D293" s="30" t="str">
        <f t="shared" si="4"/>
        <v/>
      </c>
      <c r="E293" s="13"/>
      <c r="F293" s="13"/>
      <c r="G293" s="12"/>
      <c r="H293" s="14"/>
    </row>
    <row r="294" spans="1:8" ht="17.399999999999999" x14ac:dyDescent="0.25">
      <c r="A294" s="34" t="s">
        <v>146</v>
      </c>
      <c r="B294" s="35"/>
      <c r="C294" s="9">
        <v>32.14</v>
      </c>
      <c r="D294" s="29">
        <f t="shared" si="4"/>
        <v>6.4279999999999999</v>
      </c>
      <c r="E294" s="10"/>
      <c r="F294" s="10"/>
      <c r="G294" s="9"/>
      <c r="H294" s="11"/>
    </row>
    <row r="295" spans="1:8" ht="17.399999999999999" x14ac:dyDescent="0.25">
      <c r="A295" s="32" t="s">
        <v>4</v>
      </c>
      <c r="B295" s="33"/>
      <c r="C295" s="12">
        <v>5</v>
      </c>
      <c r="D295" s="30" t="str">
        <f t="shared" si="4"/>
        <v/>
      </c>
      <c r="E295" s="13"/>
      <c r="F295" s="13"/>
      <c r="G295" s="12"/>
      <c r="H295" s="14"/>
    </row>
    <row r="296" spans="1:8" ht="17.399999999999999" x14ac:dyDescent="0.25">
      <c r="A296" s="34" t="s">
        <v>147</v>
      </c>
      <c r="B296" s="35"/>
      <c r="C296" s="9">
        <v>116.23</v>
      </c>
      <c r="D296" s="29">
        <f t="shared" si="4"/>
        <v>19.371666666666666</v>
      </c>
      <c r="E296" s="10"/>
      <c r="F296" s="10"/>
      <c r="G296" s="9"/>
      <c r="H296" s="11"/>
    </row>
    <row r="297" spans="1:8" ht="17.399999999999999" x14ac:dyDescent="0.25">
      <c r="A297" s="32" t="s">
        <v>4</v>
      </c>
      <c r="B297" s="33"/>
      <c r="C297" s="12">
        <v>6</v>
      </c>
      <c r="D297" s="30" t="str">
        <f t="shared" si="4"/>
        <v/>
      </c>
      <c r="E297" s="13"/>
      <c r="F297" s="13"/>
      <c r="G297" s="12"/>
      <c r="H297" s="14"/>
    </row>
    <row r="298" spans="1:8" ht="17.399999999999999" x14ac:dyDescent="0.25">
      <c r="A298" s="34" t="s">
        <v>148</v>
      </c>
      <c r="B298" s="35"/>
      <c r="C298" s="9">
        <v>210.24</v>
      </c>
      <c r="D298" s="29">
        <f t="shared" si="4"/>
        <v>19.112727272727273</v>
      </c>
      <c r="E298" s="10"/>
      <c r="F298" s="10"/>
      <c r="G298" s="9"/>
      <c r="H298" s="11"/>
    </row>
    <row r="299" spans="1:8" ht="17.399999999999999" x14ac:dyDescent="0.25">
      <c r="A299" s="32" t="s">
        <v>4</v>
      </c>
      <c r="B299" s="33"/>
      <c r="C299" s="12">
        <v>11</v>
      </c>
      <c r="D299" s="30" t="str">
        <f t="shared" si="4"/>
        <v/>
      </c>
      <c r="E299" s="13"/>
      <c r="F299" s="13"/>
      <c r="G299" s="12"/>
      <c r="H299" s="14"/>
    </row>
    <row r="300" spans="1:8" ht="17.399999999999999" x14ac:dyDescent="0.25">
      <c r="A300" s="34" t="s">
        <v>149</v>
      </c>
      <c r="B300" s="35"/>
      <c r="C300" s="9">
        <v>181.44</v>
      </c>
      <c r="D300" s="29">
        <f t="shared" si="4"/>
        <v>22.68</v>
      </c>
      <c r="E300" s="10"/>
      <c r="F300" s="10"/>
      <c r="G300" s="9"/>
      <c r="H300" s="11"/>
    </row>
    <row r="301" spans="1:8" ht="17.399999999999999" x14ac:dyDescent="0.25">
      <c r="A301" s="32" t="s">
        <v>4</v>
      </c>
      <c r="B301" s="33"/>
      <c r="C301" s="12">
        <v>8</v>
      </c>
      <c r="D301" s="30" t="str">
        <f t="shared" si="4"/>
        <v/>
      </c>
      <c r="E301" s="13"/>
      <c r="F301" s="13"/>
      <c r="G301" s="12"/>
      <c r="H301" s="14"/>
    </row>
    <row r="302" spans="1:8" ht="17.399999999999999" x14ac:dyDescent="0.25">
      <c r="A302" s="34" t="s">
        <v>150</v>
      </c>
      <c r="B302" s="35"/>
      <c r="C302" s="9">
        <v>75.599999999999994</v>
      </c>
      <c r="D302" s="29">
        <f t="shared" si="4"/>
        <v>0.3024</v>
      </c>
      <c r="E302" s="10"/>
      <c r="F302" s="10"/>
      <c r="G302" s="9"/>
      <c r="H302" s="11"/>
    </row>
    <row r="303" spans="1:8" ht="17.399999999999999" x14ac:dyDescent="0.25">
      <c r="A303" s="32" t="s">
        <v>4</v>
      </c>
      <c r="B303" s="33"/>
      <c r="C303" s="12">
        <v>250</v>
      </c>
      <c r="D303" s="30" t="str">
        <f t="shared" si="4"/>
        <v/>
      </c>
      <c r="E303" s="13"/>
      <c r="F303" s="13"/>
      <c r="G303" s="12"/>
      <c r="H303" s="14"/>
    </row>
    <row r="304" spans="1:8" ht="17.399999999999999" x14ac:dyDescent="0.25">
      <c r="A304" s="34" t="s">
        <v>151</v>
      </c>
      <c r="B304" s="35"/>
      <c r="C304" s="9">
        <v>903.96</v>
      </c>
      <c r="D304" s="29">
        <f t="shared" si="4"/>
        <v>0.20544545454545454</v>
      </c>
      <c r="E304" s="10"/>
      <c r="F304" s="10"/>
      <c r="G304" s="9"/>
      <c r="H304" s="11"/>
    </row>
    <row r="305" spans="1:8" ht="17.399999999999999" x14ac:dyDescent="0.25">
      <c r="A305" s="32" t="s">
        <v>4</v>
      </c>
      <c r="B305" s="33"/>
      <c r="C305" s="16">
        <v>4400</v>
      </c>
      <c r="D305" s="30" t="str">
        <f t="shared" si="4"/>
        <v/>
      </c>
      <c r="E305" s="13"/>
      <c r="F305" s="13"/>
      <c r="G305" s="16"/>
      <c r="H305" s="14"/>
    </row>
    <row r="306" spans="1:8" ht="17.399999999999999" x14ac:dyDescent="0.25">
      <c r="A306" s="34" t="s">
        <v>152</v>
      </c>
      <c r="B306" s="35"/>
      <c r="C306" s="9">
        <v>222.24</v>
      </c>
      <c r="D306" s="29">
        <f t="shared" si="4"/>
        <v>3.7040000000000002</v>
      </c>
      <c r="E306" s="10"/>
      <c r="F306" s="10"/>
      <c r="G306" s="9"/>
      <c r="H306" s="11"/>
    </row>
    <row r="307" spans="1:8" ht="17.399999999999999" x14ac:dyDescent="0.25">
      <c r="A307" s="32" t="s">
        <v>4</v>
      </c>
      <c r="B307" s="33"/>
      <c r="C307" s="12">
        <v>60</v>
      </c>
      <c r="D307" s="30" t="str">
        <f t="shared" si="4"/>
        <v/>
      </c>
      <c r="E307" s="13"/>
      <c r="F307" s="13"/>
      <c r="G307" s="12"/>
      <c r="H307" s="14"/>
    </row>
    <row r="308" spans="1:8" ht="17.399999999999999" x14ac:dyDescent="0.25">
      <c r="A308" s="34" t="s">
        <v>153</v>
      </c>
      <c r="B308" s="35"/>
      <c r="C308" s="9">
        <v>148</v>
      </c>
      <c r="D308" s="29">
        <f t="shared" si="4"/>
        <v>2.96</v>
      </c>
      <c r="E308" s="10"/>
      <c r="F308" s="10"/>
      <c r="G308" s="9"/>
      <c r="H308" s="11"/>
    </row>
    <row r="309" spans="1:8" ht="17.399999999999999" x14ac:dyDescent="0.25">
      <c r="A309" s="32" t="s">
        <v>4</v>
      </c>
      <c r="B309" s="33"/>
      <c r="C309" s="12">
        <v>50</v>
      </c>
      <c r="D309" s="30" t="str">
        <f t="shared" si="4"/>
        <v/>
      </c>
      <c r="E309" s="13"/>
      <c r="F309" s="13"/>
      <c r="G309" s="12"/>
      <c r="H309" s="14"/>
    </row>
    <row r="310" spans="1:8" ht="17.399999999999999" x14ac:dyDescent="0.25">
      <c r="A310" s="34" t="s">
        <v>154</v>
      </c>
      <c r="B310" s="35"/>
      <c r="C310" s="15">
        <v>2359.8000000000002</v>
      </c>
      <c r="D310" s="29">
        <f t="shared" si="4"/>
        <v>2.0700000000000003</v>
      </c>
      <c r="E310" s="10"/>
      <c r="F310" s="10"/>
      <c r="G310" s="15"/>
      <c r="H310" s="11"/>
    </row>
    <row r="311" spans="1:8" ht="17.399999999999999" x14ac:dyDescent="0.25">
      <c r="A311" s="32" t="s">
        <v>4</v>
      </c>
      <c r="B311" s="33"/>
      <c r="C311" s="16">
        <v>1140</v>
      </c>
      <c r="D311" s="30" t="str">
        <f t="shared" si="4"/>
        <v/>
      </c>
      <c r="E311" s="13"/>
      <c r="F311" s="13"/>
      <c r="G311" s="16"/>
      <c r="H311" s="14"/>
    </row>
    <row r="312" spans="1:8" ht="17.399999999999999" x14ac:dyDescent="0.25">
      <c r="A312" s="34" t="s">
        <v>155</v>
      </c>
      <c r="B312" s="35"/>
      <c r="C312" s="9">
        <v>596</v>
      </c>
      <c r="D312" s="29">
        <f t="shared" si="4"/>
        <v>14.9</v>
      </c>
      <c r="E312" s="10"/>
      <c r="F312" s="10"/>
      <c r="G312" s="9"/>
      <c r="H312" s="11"/>
    </row>
    <row r="313" spans="1:8" ht="17.399999999999999" x14ac:dyDescent="0.25">
      <c r="A313" s="32" t="s">
        <v>4</v>
      </c>
      <c r="B313" s="33"/>
      <c r="C313" s="12">
        <v>40</v>
      </c>
      <c r="D313" s="30" t="str">
        <f t="shared" si="4"/>
        <v/>
      </c>
      <c r="E313" s="13"/>
      <c r="F313" s="13"/>
      <c r="G313" s="12"/>
      <c r="H313" s="14"/>
    </row>
    <row r="314" spans="1:8" ht="17.399999999999999" x14ac:dyDescent="0.25">
      <c r="A314" s="34" t="s">
        <v>156</v>
      </c>
      <c r="B314" s="35"/>
      <c r="C314" s="15">
        <v>99360</v>
      </c>
      <c r="D314" s="29">
        <f t="shared" si="4"/>
        <v>3548.5714285714284</v>
      </c>
      <c r="E314" s="10"/>
      <c r="F314" s="10"/>
      <c r="G314" s="15"/>
      <c r="H314" s="11"/>
    </row>
    <row r="315" spans="1:8" ht="17.399999999999999" x14ac:dyDescent="0.25">
      <c r="A315" s="32" t="s">
        <v>4</v>
      </c>
      <c r="B315" s="33"/>
      <c r="C315" s="12">
        <v>28</v>
      </c>
      <c r="D315" s="30" t="str">
        <f t="shared" si="4"/>
        <v/>
      </c>
      <c r="E315" s="13"/>
      <c r="F315" s="13"/>
      <c r="G315" s="12"/>
      <c r="H315" s="14"/>
    </row>
    <row r="316" spans="1:8" ht="17.399999999999999" x14ac:dyDescent="0.25">
      <c r="A316" s="34" t="s">
        <v>157</v>
      </c>
      <c r="B316" s="35"/>
      <c r="C316" s="15">
        <v>46440</v>
      </c>
      <c r="D316" s="29">
        <f t="shared" si="4"/>
        <v>92.88</v>
      </c>
      <c r="E316" s="10"/>
      <c r="F316" s="10"/>
      <c r="G316" s="15"/>
      <c r="H316" s="11"/>
    </row>
    <row r="317" spans="1:8" ht="17.399999999999999" x14ac:dyDescent="0.25">
      <c r="A317" s="32" t="s">
        <v>4</v>
      </c>
      <c r="B317" s="33"/>
      <c r="C317" s="12">
        <v>500</v>
      </c>
      <c r="D317" s="30" t="str">
        <f t="shared" si="4"/>
        <v/>
      </c>
      <c r="E317" s="13"/>
      <c r="F317" s="13"/>
      <c r="G317" s="12"/>
      <c r="H317" s="14"/>
    </row>
    <row r="318" spans="1:8" ht="17.399999999999999" x14ac:dyDescent="0.25">
      <c r="A318" s="34" t="s">
        <v>158</v>
      </c>
      <c r="B318" s="35"/>
      <c r="C318" s="9">
        <v>11.23</v>
      </c>
      <c r="D318" s="29">
        <f t="shared" si="4"/>
        <v>0.140375</v>
      </c>
      <c r="E318" s="10"/>
      <c r="F318" s="10"/>
      <c r="G318" s="9"/>
      <c r="H318" s="11"/>
    </row>
    <row r="319" spans="1:8" ht="17.399999999999999" x14ac:dyDescent="0.25">
      <c r="A319" s="32" t="s">
        <v>4</v>
      </c>
      <c r="B319" s="33"/>
      <c r="C319" s="12">
        <v>80</v>
      </c>
      <c r="D319" s="30" t="str">
        <f t="shared" si="4"/>
        <v/>
      </c>
      <c r="E319" s="13"/>
      <c r="F319" s="13"/>
      <c r="G319" s="12"/>
      <c r="H319" s="14"/>
    </row>
    <row r="320" spans="1:8" ht="17.399999999999999" x14ac:dyDescent="0.25">
      <c r="A320" s="34" t="s">
        <v>159</v>
      </c>
      <c r="B320" s="35"/>
      <c r="C320" s="9">
        <v>926.21</v>
      </c>
      <c r="D320" s="29">
        <f t="shared" si="4"/>
        <v>0.27814114114114113</v>
      </c>
      <c r="E320" s="10"/>
      <c r="F320" s="10"/>
      <c r="G320" s="9"/>
      <c r="H320" s="11"/>
    </row>
    <row r="321" spans="1:8" ht="17.399999999999999" x14ac:dyDescent="0.25">
      <c r="A321" s="32" t="s">
        <v>4</v>
      </c>
      <c r="B321" s="33"/>
      <c r="C321" s="16">
        <v>3330</v>
      </c>
      <c r="D321" s="30" t="str">
        <f t="shared" si="4"/>
        <v/>
      </c>
      <c r="E321" s="13"/>
      <c r="F321" s="13"/>
      <c r="G321" s="16"/>
      <c r="H321" s="14"/>
    </row>
    <row r="322" spans="1:8" ht="17.399999999999999" x14ac:dyDescent="0.25">
      <c r="A322" s="34" t="s">
        <v>160</v>
      </c>
      <c r="B322" s="35"/>
      <c r="C322" s="9">
        <v>324.74</v>
      </c>
      <c r="D322" s="29">
        <f t="shared" si="4"/>
        <v>0.27755555555555556</v>
      </c>
      <c r="E322" s="10"/>
      <c r="F322" s="10"/>
      <c r="G322" s="9"/>
      <c r="H322" s="11"/>
    </row>
    <row r="323" spans="1:8" ht="17.399999999999999" x14ac:dyDescent="0.25">
      <c r="A323" s="32" t="s">
        <v>4</v>
      </c>
      <c r="B323" s="33"/>
      <c r="C323" s="16">
        <v>1170</v>
      </c>
      <c r="D323" s="30" t="str">
        <f t="shared" si="4"/>
        <v/>
      </c>
      <c r="E323" s="13"/>
      <c r="F323" s="13"/>
      <c r="G323" s="16"/>
      <c r="H323" s="14"/>
    </row>
    <row r="324" spans="1:8" ht="17.399999999999999" x14ac:dyDescent="0.25">
      <c r="A324" s="34" t="s">
        <v>161</v>
      </c>
      <c r="B324" s="35"/>
      <c r="C324" s="9">
        <v>725.12</v>
      </c>
      <c r="D324" s="29">
        <f t="shared" si="4"/>
        <v>0.73244444444444445</v>
      </c>
      <c r="E324" s="10"/>
      <c r="F324" s="10"/>
      <c r="G324" s="9"/>
      <c r="H324" s="11"/>
    </row>
    <row r="325" spans="1:8" ht="17.399999999999999" x14ac:dyDescent="0.25">
      <c r="A325" s="32" t="s">
        <v>4</v>
      </c>
      <c r="B325" s="33"/>
      <c r="C325" s="12">
        <v>990</v>
      </c>
      <c r="D325" s="30" t="str">
        <f t="shared" si="4"/>
        <v/>
      </c>
      <c r="E325" s="13"/>
      <c r="F325" s="13"/>
      <c r="G325" s="12"/>
      <c r="H325" s="14"/>
    </row>
    <row r="326" spans="1:8" ht="17.399999999999999" x14ac:dyDescent="0.25">
      <c r="A326" s="34" t="s">
        <v>162</v>
      </c>
      <c r="B326" s="35"/>
      <c r="C326" s="15">
        <v>3016.07</v>
      </c>
      <c r="D326" s="29">
        <f t="shared" si="4"/>
        <v>3.01607</v>
      </c>
      <c r="E326" s="10"/>
      <c r="F326" s="10"/>
      <c r="G326" s="15"/>
      <c r="H326" s="11"/>
    </row>
    <row r="327" spans="1:8" ht="17.399999999999999" x14ac:dyDescent="0.25">
      <c r="A327" s="32" t="s">
        <v>4</v>
      </c>
      <c r="B327" s="33"/>
      <c r="C327" s="16">
        <v>1000</v>
      </c>
      <c r="D327" s="30" t="str">
        <f t="shared" si="4"/>
        <v/>
      </c>
      <c r="E327" s="13"/>
      <c r="F327" s="13"/>
      <c r="G327" s="16"/>
      <c r="H327" s="14"/>
    </row>
    <row r="328" spans="1:8" ht="17.399999999999999" x14ac:dyDescent="0.25">
      <c r="A328" s="34" t="s">
        <v>163</v>
      </c>
      <c r="B328" s="35"/>
      <c r="C328" s="9">
        <v>498.65</v>
      </c>
      <c r="D328" s="29">
        <f t="shared" si="4"/>
        <v>0.22162222222222222</v>
      </c>
      <c r="E328" s="10"/>
      <c r="F328" s="10"/>
      <c r="G328" s="9"/>
      <c r="H328" s="11"/>
    </row>
    <row r="329" spans="1:8" ht="17.399999999999999" x14ac:dyDescent="0.25">
      <c r="A329" s="32" t="s">
        <v>4</v>
      </c>
      <c r="B329" s="33"/>
      <c r="C329" s="16">
        <v>2250</v>
      </c>
      <c r="D329" s="30" t="str">
        <f t="shared" si="4"/>
        <v/>
      </c>
      <c r="E329" s="13"/>
      <c r="F329" s="13"/>
      <c r="G329" s="16"/>
      <c r="H329" s="14"/>
    </row>
    <row r="330" spans="1:8" ht="17.399999999999999" x14ac:dyDescent="0.25">
      <c r="A330" s="34" t="s">
        <v>164</v>
      </c>
      <c r="B330" s="35"/>
      <c r="C330" s="9">
        <v>717.29</v>
      </c>
      <c r="D330" s="29">
        <f t="shared" ref="D330:D393" si="5">IF($A331="Кол-во",IFERROR($C330/$C331,""),"")</f>
        <v>10.247</v>
      </c>
      <c r="E330" s="10"/>
      <c r="F330" s="10"/>
      <c r="G330" s="9"/>
      <c r="H330" s="11"/>
    </row>
    <row r="331" spans="1:8" ht="17.399999999999999" x14ac:dyDescent="0.25">
      <c r="A331" s="32" t="s">
        <v>4</v>
      </c>
      <c r="B331" s="33"/>
      <c r="C331" s="12">
        <v>70</v>
      </c>
      <c r="D331" s="30" t="str">
        <f t="shared" si="5"/>
        <v/>
      </c>
      <c r="E331" s="13"/>
      <c r="F331" s="13"/>
      <c r="G331" s="12"/>
      <c r="H331" s="14"/>
    </row>
    <row r="332" spans="1:8" ht="17.399999999999999" x14ac:dyDescent="0.25">
      <c r="A332" s="34" t="s">
        <v>165</v>
      </c>
      <c r="B332" s="35"/>
      <c r="C332" s="15">
        <v>2746.01</v>
      </c>
      <c r="D332" s="29">
        <f t="shared" si="5"/>
        <v>4.6542542372881357</v>
      </c>
      <c r="E332" s="10"/>
      <c r="F332" s="10"/>
      <c r="G332" s="15"/>
      <c r="H332" s="11"/>
    </row>
    <row r="333" spans="1:8" ht="17.399999999999999" x14ac:dyDescent="0.25">
      <c r="A333" s="32" t="s">
        <v>4</v>
      </c>
      <c r="B333" s="33"/>
      <c r="C333" s="12">
        <v>590</v>
      </c>
      <c r="D333" s="30" t="str">
        <f t="shared" si="5"/>
        <v/>
      </c>
      <c r="E333" s="13"/>
      <c r="F333" s="13"/>
      <c r="G333" s="12"/>
      <c r="H333" s="14"/>
    </row>
    <row r="334" spans="1:8" ht="17.399999999999999" x14ac:dyDescent="0.25">
      <c r="A334" s="34" t="s">
        <v>166</v>
      </c>
      <c r="B334" s="35"/>
      <c r="C334" s="15">
        <v>4821.78</v>
      </c>
      <c r="D334" s="29">
        <f t="shared" si="5"/>
        <v>4.797791044776119</v>
      </c>
      <c r="E334" s="10"/>
      <c r="F334" s="10"/>
      <c r="G334" s="15"/>
      <c r="H334" s="11"/>
    </row>
    <row r="335" spans="1:8" ht="17.399999999999999" x14ac:dyDescent="0.25">
      <c r="A335" s="32" t="s">
        <v>4</v>
      </c>
      <c r="B335" s="33"/>
      <c r="C335" s="16">
        <v>1005</v>
      </c>
      <c r="D335" s="30" t="str">
        <f t="shared" si="5"/>
        <v/>
      </c>
      <c r="E335" s="13"/>
      <c r="F335" s="13"/>
      <c r="G335" s="16"/>
      <c r="H335" s="14"/>
    </row>
    <row r="336" spans="1:8" ht="17.399999999999999" x14ac:dyDescent="0.25">
      <c r="A336" s="34" t="s">
        <v>167</v>
      </c>
      <c r="B336" s="35"/>
      <c r="C336" s="15">
        <v>7542.98</v>
      </c>
      <c r="D336" s="29">
        <f t="shared" si="5"/>
        <v>16.151991434689506</v>
      </c>
      <c r="E336" s="10"/>
      <c r="F336" s="10"/>
      <c r="G336" s="15"/>
      <c r="H336" s="11"/>
    </row>
    <row r="337" spans="1:8" ht="17.399999999999999" x14ac:dyDescent="0.25">
      <c r="A337" s="32" t="s">
        <v>4</v>
      </c>
      <c r="B337" s="33"/>
      <c r="C337" s="12">
        <v>467</v>
      </c>
      <c r="D337" s="30" t="str">
        <f t="shared" si="5"/>
        <v/>
      </c>
      <c r="E337" s="13"/>
      <c r="F337" s="13"/>
      <c r="G337" s="12"/>
      <c r="H337" s="14"/>
    </row>
    <row r="338" spans="1:8" ht="17.399999999999999" x14ac:dyDescent="0.25">
      <c r="A338" s="34" t="s">
        <v>168</v>
      </c>
      <c r="B338" s="35"/>
      <c r="C338" s="15">
        <v>8104.73</v>
      </c>
      <c r="D338" s="29">
        <f t="shared" si="5"/>
        <v>23.837441176470588</v>
      </c>
      <c r="E338" s="10"/>
      <c r="F338" s="10"/>
      <c r="G338" s="15"/>
      <c r="H338" s="11"/>
    </row>
    <row r="339" spans="1:8" ht="17.399999999999999" x14ac:dyDescent="0.25">
      <c r="A339" s="32" t="s">
        <v>4</v>
      </c>
      <c r="B339" s="33"/>
      <c r="C339" s="12">
        <v>340</v>
      </c>
      <c r="D339" s="30" t="str">
        <f t="shared" si="5"/>
        <v/>
      </c>
      <c r="E339" s="13"/>
      <c r="F339" s="13"/>
      <c r="G339" s="12"/>
      <c r="H339" s="14"/>
    </row>
    <row r="340" spans="1:8" ht="17.399999999999999" x14ac:dyDescent="0.25">
      <c r="A340" s="34" t="s">
        <v>169</v>
      </c>
      <c r="B340" s="35"/>
      <c r="C340" s="9">
        <v>44.96</v>
      </c>
      <c r="D340" s="29">
        <f t="shared" si="5"/>
        <v>4.4960000000000004</v>
      </c>
      <c r="E340" s="10"/>
      <c r="F340" s="10"/>
      <c r="G340" s="9"/>
      <c r="H340" s="11"/>
    </row>
    <row r="341" spans="1:8" ht="17.399999999999999" x14ac:dyDescent="0.25">
      <c r="A341" s="32" t="s">
        <v>4</v>
      </c>
      <c r="B341" s="33"/>
      <c r="C341" s="12">
        <v>10</v>
      </c>
      <c r="D341" s="30" t="str">
        <f t="shared" si="5"/>
        <v/>
      </c>
      <c r="E341" s="13"/>
      <c r="F341" s="13"/>
      <c r="G341" s="12"/>
      <c r="H341" s="14"/>
    </row>
    <row r="342" spans="1:8" ht="17.399999999999999" x14ac:dyDescent="0.25">
      <c r="A342" s="34" t="s">
        <v>170</v>
      </c>
      <c r="B342" s="35"/>
      <c r="C342" s="9">
        <v>71.31</v>
      </c>
      <c r="D342" s="29">
        <f t="shared" si="5"/>
        <v>4.7540000000000004</v>
      </c>
      <c r="E342" s="10"/>
      <c r="F342" s="10"/>
      <c r="G342" s="9"/>
      <c r="H342" s="11"/>
    </row>
    <row r="343" spans="1:8" ht="17.399999999999999" x14ac:dyDescent="0.25">
      <c r="A343" s="32" t="s">
        <v>4</v>
      </c>
      <c r="B343" s="33"/>
      <c r="C343" s="12">
        <v>15</v>
      </c>
      <c r="D343" s="30" t="str">
        <f t="shared" si="5"/>
        <v/>
      </c>
      <c r="E343" s="13"/>
      <c r="F343" s="13"/>
      <c r="G343" s="12"/>
      <c r="H343" s="14"/>
    </row>
    <row r="344" spans="1:8" ht="17.399999999999999" x14ac:dyDescent="0.25">
      <c r="A344" s="34" t="s">
        <v>171</v>
      </c>
      <c r="B344" s="35"/>
      <c r="C344" s="15">
        <v>7417.2</v>
      </c>
      <c r="D344" s="29">
        <f t="shared" si="5"/>
        <v>3.9037894736842103</v>
      </c>
      <c r="E344" s="10"/>
      <c r="F344" s="10"/>
      <c r="G344" s="15"/>
      <c r="H344" s="11"/>
    </row>
    <row r="345" spans="1:8" ht="17.399999999999999" x14ac:dyDescent="0.25">
      <c r="A345" s="32" t="s">
        <v>4</v>
      </c>
      <c r="B345" s="33"/>
      <c r="C345" s="16">
        <v>1900</v>
      </c>
      <c r="D345" s="30" t="str">
        <f t="shared" si="5"/>
        <v/>
      </c>
      <c r="E345" s="13"/>
      <c r="F345" s="13"/>
      <c r="G345" s="16"/>
      <c r="H345" s="14"/>
    </row>
    <row r="346" spans="1:8" ht="17.399999999999999" x14ac:dyDescent="0.25">
      <c r="A346" s="34" t="s">
        <v>172</v>
      </c>
      <c r="B346" s="35"/>
      <c r="C346" s="15">
        <v>3100.92</v>
      </c>
      <c r="D346" s="29">
        <f t="shared" si="5"/>
        <v>3.4454666666666669</v>
      </c>
      <c r="E346" s="10"/>
      <c r="F346" s="10"/>
      <c r="G346" s="15"/>
      <c r="H346" s="11"/>
    </row>
    <row r="347" spans="1:8" ht="17.399999999999999" x14ac:dyDescent="0.25">
      <c r="A347" s="32" t="s">
        <v>4</v>
      </c>
      <c r="B347" s="33"/>
      <c r="C347" s="12">
        <v>900</v>
      </c>
      <c r="D347" s="30" t="str">
        <f t="shared" si="5"/>
        <v/>
      </c>
      <c r="E347" s="13"/>
      <c r="F347" s="13"/>
      <c r="G347" s="12"/>
      <c r="H347" s="14"/>
    </row>
    <row r="348" spans="1:8" ht="17.399999999999999" x14ac:dyDescent="0.25">
      <c r="A348" s="34" t="s">
        <v>173</v>
      </c>
      <c r="B348" s="35"/>
      <c r="C348" s="15">
        <v>7476</v>
      </c>
      <c r="D348" s="29">
        <f t="shared" si="5"/>
        <v>5.34</v>
      </c>
      <c r="E348" s="10"/>
      <c r="F348" s="10"/>
      <c r="G348" s="15"/>
      <c r="H348" s="11"/>
    </row>
    <row r="349" spans="1:8" ht="17.399999999999999" x14ac:dyDescent="0.25">
      <c r="A349" s="32" t="s">
        <v>4</v>
      </c>
      <c r="B349" s="33"/>
      <c r="C349" s="16">
        <v>1400</v>
      </c>
      <c r="D349" s="30" t="str">
        <f t="shared" si="5"/>
        <v/>
      </c>
      <c r="E349" s="13"/>
      <c r="F349" s="13"/>
      <c r="G349" s="16"/>
      <c r="H349" s="14"/>
    </row>
    <row r="350" spans="1:8" ht="17.399999999999999" x14ac:dyDescent="0.25">
      <c r="A350" s="34" t="s">
        <v>174</v>
      </c>
      <c r="B350" s="35"/>
      <c r="C350" s="9">
        <v>61.56</v>
      </c>
      <c r="D350" s="29">
        <f t="shared" si="5"/>
        <v>3.0780000000000003</v>
      </c>
      <c r="E350" s="10"/>
      <c r="F350" s="10"/>
      <c r="G350" s="9"/>
      <c r="H350" s="11"/>
    </row>
    <row r="351" spans="1:8" ht="17.399999999999999" x14ac:dyDescent="0.25">
      <c r="A351" s="32" t="s">
        <v>4</v>
      </c>
      <c r="B351" s="33"/>
      <c r="C351" s="12">
        <v>20</v>
      </c>
      <c r="D351" s="30" t="str">
        <f t="shared" si="5"/>
        <v/>
      </c>
      <c r="E351" s="13"/>
      <c r="F351" s="13"/>
      <c r="G351" s="12"/>
      <c r="H351" s="14"/>
    </row>
    <row r="352" spans="1:8" ht="17.399999999999999" x14ac:dyDescent="0.25">
      <c r="A352" s="34" t="s">
        <v>175</v>
      </c>
      <c r="B352" s="35"/>
      <c r="C352" s="15">
        <v>2781</v>
      </c>
      <c r="D352" s="29">
        <f t="shared" si="5"/>
        <v>55.62</v>
      </c>
      <c r="E352" s="10"/>
      <c r="F352" s="10"/>
      <c r="G352" s="15"/>
      <c r="H352" s="11"/>
    </row>
    <row r="353" spans="1:8" ht="17.399999999999999" x14ac:dyDescent="0.25">
      <c r="A353" s="32" t="s">
        <v>4</v>
      </c>
      <c r="B353" s="33"/>
      <c r="C353" s="12">
        <v>50</v>
      </c>
      <c r="D353" s="30" t="str">
        <f t="shared" si="5"/>
        <v/>
      </c>
      <c r="E353" s="13"/>
      <c r="F353" s="13"/>
      <c r="G353" s="12"/>
      <c r="H353" s="14"/>
    </row>
    <row r="354" spans="1:8" ht="17.399999999999999" x14ac:dyDescent="0.25">
      <c r="A354" s="34" t="s">
        <v>176</v>
      </c>
      <c r="B354" s="35"/>
      <c r="C354" s="9">
        <v>164.16</v>
      </c>
      <c r="D354" s="29">
        <f t="shared" si="5"/>
        <v>41.04</v>
      </c>
      <c r="E354" s="10"/>
      <c r="F354" s="10"/>
      <c r="G354" s="9"/>
      <c r="H354" s="11"/>
    </row>
    <row r="355" spans="1:8" ht="17.399999999999999" x14ac:dyDescent="0.25">
      <c r="A355" s="32" t="s">
        <v>4</v>
      </c>
      <c r="B355" s="33"/>
      <c r="C355" s="12">
        <v>4</v>
      </c>
      <c r="D355" s="30" t="str">
        <f t="shared" si="5"/>
        <v/>
      </c>
      <c r="E355" s="13"/>
      <c r="F355" s="13"/>
      <c r="G355" s="12"/>
      <c r="H355" s="14"/>
    </row>
    <row r="356" spans="1:8" ht="17.399999999999999" x14ac:dyDescent="0.25">
      <c r="A356" s="34" t="s">
        <v>177</v>
      </c>
      <c r="B356" s="35"/>
      <c r="C356" s="9">
        <v>181.44</v>
      </c>
      <c r="D356" s="29">
        <f t="shared" si="5"/>
        <v>45.36</v>
      </c>
      <c r="E356" s="10"/>
      <c r="F356" s="10"/>
      <c r="G356" s="9"/>
      <c r="H356" s="11"/>
    </row>
    <row r="357" spans="1:8" ht="17.399999999999999" x14ac:dyDescent="0.25">
      <c r="A357" s="32" t="s">
        <v>4</v>
      </c>
      <c r="B357" s="33"/>
      <c r="C357" s="12">
        <v>4</v>
      </c>
      <c r="D357" s="30" t="str">
        <f t="shared" si="5"/>
        <v/>
      </c>
      <c r="E357" s="13"/>
      <c r="F357" s="13"/>
      <c r="G357" s="12"/>
      <c r="H357" s="14"/>
    </row>
    <row r="358" spans="1:8" ht="17.399999999999999" x14ac:dyDescent="0.25">
      <c r="A358" s="34" t="s">
        <v>178</v>
      </c>
      <c r="B358" s="35"/>
      <c r="C358" s="9">
        <v>194.4</v>
      </c>
      <c r="D358" s="29">
        <f t="shared" si="5"/>
        <v>48.6</v>
      </c>
      <c r="E358" s="10"/>
      <c r="F358" s="10"/>
      <c r="G358" s="9"/>
      <c r="H358" s="11"/>
    </row>
    <row r="359" spans="1:8" ht="17.399999999999999" x14ac:dyDescent="0.25">
      <c r="A359" s="32" t="s">
        <v>4</v>
      </c>
      <c r="B359" s="33"/>
      <c r="C359" s="12">
        <v>4</v>
      </c>
      <c r="D359" s="30" t="str">
        <f t="shared" si="5"/>
        <v/>
      </c>
      <c r="E359" s="13"/>
      <c r="F359" s="13"/>
      <c r="G359" s="12"/>
      <c r="H359" s="14"/>
    </row>
    <row r="360" spans="1:8" ht="17.399999999999999" x14ac:dyDescent="0.25">
      <c r="A360" s="34" t="s">
        <v>179</v>
      </c>
      <c r="B360" s="35"/>
      <c r="C360" s="9">
        <v>726.3</v>
      </c>
      <c r="D360" s="29">
        <f t="shared" si="5"/>
        <v>14.526</v>
      </c>
      <c r="E360" s="10"/>
      <c r="F360" s="10"/>
      <c r="G360" s="9"/>
      <c r="H360" s="11"/>
    </row>
    <row r="361" spans="1:8" ht="17.399999999999999" x14ac:dyDescent="0.25">
      <c r="A361" s="32" t="s">
        <v>4</v>
      </c>
      <c r="B361" s="33"/>
      <c r="C361" s="12">
        <v>50</v>
      </c>
      <c r="D361" s="30" t="str">
        <f t="shared" si="5"/>
        <v/>
      </c>
      <c r="E361" s="13"/>
      <c r="F361" s="13"/>
      <c r="G361" s="12"/>
      <c r="H361" s="14"/>
    </row>
    <row r="362" spans="1:8" ht="17.399999999999999" x14ac:dyDescent="0.25">
      <c r="A362" s="34" t="s">
        <v>180</v>
      </c>
      <c r="B362" s="35"/>
      <c r="C362" s="9">
        <v>72.900000000000006</v>
      </c>
      <c r="D362" s="29">
        <f t="shared" si="5"/>
        <v>1.62</v>
      </c>
      <c r="E362" s="10"/>
      <c r="F362" s="10"/>
      <c r="G362" s="9"/>
      <c r="H362" s="11"/>
    </row>
    <row r="363" spans="1:8" ht="17.399999999999999" x14ac:dyDescent="0.25">
      <c r="A363" s="32" t="s">
        <v>4</v>
      </c>
      <c r="B363" s="33"/>
      <c r="C363" s="12">
        <v>45</v>
      </c>
      <c r="D363" s="30" t="str">
        <f t="shared" si="5"/>
        <v/>
      </c>
      <c r="E363" s="13"/>
      <c r="F363" s="13"/>
      <c r="G363" s="12"/>
      <c r="H363" s="14"/>
    </row>
    <row r="364" spans="1:8" ht="17.399999999999999" x14ac:dyDescent="0.25">
      <c r="A364" s="34" t="s">
        <v>181</v>
      </c>
      <c r="B364" s="35"/>
      <c r="C364" s="9">
        <v>339.49</v>
      </c>
      <c r="D364" s="29">
        <f t="shared" si="5"/>
        <v>1.252730627306273</v>
      </c>
      <c r="E364" s="10"/>
      <c r="F364" s="10"/>
      <c r="G364" s="9"/>
      <c r="H364" s="11"/>
    </row>
    <row r="365" spans="1:8" ht="17.399999999999999" x14ac:dyDescent="0.25">
      <c r="A365" s="32" t="s">
        <v>4</v>
      </c>
      <c r="B365" s="33"/>
      <c r="C365" s="12">
        <v>271</v>
      </c>
      <c r="D365" s="30" t="str">
        <f t="shared" si="5"/>
        <v/>
      </c>
      <c r="E365" s="13"/>
      <c r="F365" s="13"/>
      <c r="G365" s="12"/>
      <c r="H365" s="14"/>
    </row>
    <row r="366" spans="1:8" ht="17.399999999999999" x14ac:dyDescent="0.25">
      <c r="A366" s="34" t="s">
        <v>182</v>
      </c>
      <c r="B366" s="35"/>
      <c r="C366" s="9">
        <v>137.80000000000001</v>
      </c>
      <c r="D366" s="29">
        <f t="shared" si="5"/>
        <v>1.2527272727272729</v>
      </c>
      <c r="E366" s="10"/>
      <c r="F366" s="10"/>
      <c r="G366" s="9"/>
      <c r="H366" s="11"/>
    </row>
    <row r="367" spans="1:8" ht="17.399999999999999" x14ac:dyDescent="0.25">
      <c r="A367" s="32" t="s">
        <v>4</v>
      </c>
      <c r="B367" s="33"/>
      <c r="C367" s="12">
        <v>110</v>
      </c>
      <c r="D367" s="30" t="str">
        <f t="shared" si="5"/>
        <v/>
      </c>
      <c r="E367" s="13"/>
      <c r="F367" s="13"/>
      <c r="G367" s="12"/>
      <c r="H367" s="14"/>
    </row>
    <row r="368" spans="1:8" ht="17.399999999999999" x14ac:dyDescent="0.25">
      <c r="A368" s="34" t="s">
        <v>183</v>
      </c>
      <c r="B368" s="35"/>
      <c r="C368" s="9">
        <v>77.760000000000005</v>
      </c>
      <c r="D368" s="29">
        <f t="shared" si="5"/>
        <v>1.7280000000000002</v>
      </c>
      <c r="E368" s="10"/>
      <c r="F368" s="10"/>
      <c r="G368" s="9"/>
      <c r="H368" s="11"/>
    </row>
    <row r="369" spans="1:8" ht="17.399999999999999" x14ac:dyDescent="0.25">
      <c r="A369" s="32" t="s">
        <v>4</v>
      </c>
      <c r="B369" s="33"/>
      <c r="C369" s="12">
        <v>45</v>
      </c>
      <c r="D369" s="30" t="str">
        <f t="shared" si="5"/>
        <v/>
      </c>
      <c r="E369" s="13"/>
      <c r="F369" s="13"/>
      <c r="G369" s="12"/>
      <c r="H369" s="14"/>
    </row>
    <row r="370" spans="1:8" ht="17.399999999999999" x14ac:dyDescent="0.25">
      <c r="A370" s="34" t="s">
        <v>184</v>
      </c>
      <c r="B370" s="35"/>
      <c r="C370" s="9">
        <v>63.72</v>
      </c>
      <c r="D370" s="29">
        <f t="shared" si="5"/>
        <v>1.2744</v>
      </c>
      <c r="E370" s="10"/>
      <c r="F370" s="10"/>
      <c r="G370" s="9"/>
      <c r="H370" s="11"/>
    </row>
    <row r="371" spans="1:8" ht="17.399999999999999" x14ac:dyDescent="0.25">
      <c r="A371" s="32" t="s">
        <v>4</v>
      </c>
      <c r="B371" s="33"/>
      <c r="C371" s="12">
        <v>50</v>
      </c>
      <c r="D371" s="30" t="str">
        <f t="shared" si="5"/>
        <v/>
      </c>
      <c r="E371" s="13"/>
      <c r="F371" s="13"/>
      <c r="G371" s="12"/>
      <c r="H371" s="14"/>
    </row>
    <row r="372" spans="1:8" ht="17.399999999999999" x14ac:dyDescent="0.25">
      <c r="A372" s="34" t="s">
        <v>185</v>
      </c>
      <c r="B372" s="35"/>
      <c r="C372" s="9">
        <v>905.04</v>
      </c>
      <c r="D372" s="29">
        <f t="shared" si="5"/>
        <v>9.0503999999999998</v>
      </c>
      <c r="E372" s="10"/>
      <c r="F372" s="10"/>
      <c r="G372" s="9"/>
      <c r="H372" s="11"/>
    </row>
    <row r="373" spans="1:8" ht="17.399999999999999" x14ac:dyDescent="0.25">
      <c r="A373" s="32" t="s">
        <v>4</v>
      </c>
      <c r="B373" s="33"/>
      <c r="C373" s="12">
        <v>100</v>
      </c>
      <c r="D373" s="30" t="str">
        <f t="shared" si="5"/>
        <v/>
      </c>
      <c r="E373" s="13"/>
      <c r="F373" s="13"/>
      <c r="G373" s="12"/>
      <c r="H373" s="14"/>
    </row>
    <row r="374" spans="1:8" ht="17.399999999999999" x14ac:dyDescent="0.25">
      <c r="A374" s="34" t="s">
        <v>186</v>
      </c>
      <c r="B374" s="35"/>
      <c r="C374" s="15">
        <v>2711</v>
      </c>
      <c r="D374" s="29">
        <f t="shared" si="5"/>
        <v>1.9364285714285714</v>
      </c>
      <c r="E374" s="10"/>
      <c r="F374" s="10"/>
      <c r="G374" s="15"/>
      <c r="H374" s="11"/>
    </row>
    <row r="375" spans="1:8" ht="17.399999999999999" x14ac:dyDescent="0.25">
      <c r="A375" s="32" t="s">
        <v>4</v>
      </c>
      <c r="B375" s="33"/>
      <c r="C375" s="16">
        <v>1400</v>
      </c>
      <c r="D375" s="30" t="str">
        <f t="shared" si="5"/>
        <v/>
      </c>
      <c r="E375" s="13"/>
      <c r="F375" s="13"/>
      <c r="G375" s="16"/>
      <c r="H375" s="14"/>
    </row>
    <row r="376" spans="1:8" ht="17.399999999999999" x14ac:dyDescent="0.25">
      <c r="A376" s="34" t="s">
        <v>187</v>
      </c>
      <c r="B376" s="35"/>
      <c r="C376" s="15">
        <v>1261.98</v>
      </c>
      <c r="D376" s="29">
        <f t="shared" si="5"/>
        <v>2.214</v>
      </c>
      <c r="E376" s="10"/>
      <c r="F376" s="10"/>
      <c r="G376" s="15"/>
      <c r="H376" s="11"/>
    </row>
    <row r="377" spans="1:8" ht="17.399999999999999" x14ac:dyDescent="0.25">
      <c r="A377" s="32" t="s">
        <v>4</v>
      </c>
      <c r="B377" s="33"/>
      <c r="C377" s="12">
        <v>570</v>
      </c>
      <c r="D377" s="30" t="str">
        <f t="shared" si="5"/>
        <v/>
      </c>
      <c r="E377" s="13"/>
      <c r="F377" s="13"/>
      <c r="G377" s="12"/>
      <c r="H377" s="14"/>
    </row>
    <row r="378" spans="1:8" ht="17.399999999999999" x14ac:dyDescent="0.25">
      <c r="A378" s="34" t="s">
        <v>188</v>
      </c>
      <c r="B378" s="35"/>
      <c r="C378" s="9">
        <v>708.91</v>
      </c>
      <c r="D378" s="29">
        <f t="shared" si="5"/>
        <v>2.0850294117647059</v>
      </c>
      <c r="E378" s="10"/>
      <c r="F378" s="10"/>
      <c r="G378" s="9"/>
      <c r="H378" s="11"/>
    </row>
    <row r="379" spans="1:8" ht="17.399999999999999" x14ac:dyDescent="0.25">
      <c r="A379" s="32" t="s">
        <v>4</v>
      </c>
      <c r="B379" s="33"/>
      <c r="C379" s="12">
        <v>340</v>
      </c>
      <c r="D379" s="30" t="str">
        <f t="shared" si="5"/>
        <v/>
      </c>
      <c r="E379" s="13"/>
      <c r="F379" s="13"/>
      <c r="G379" s="12"/>
      <c r="H379" s="14"/>
    </row>
    <row r="380" spans="1:8" ht="17.399999999999999" x14ac:dyDescent="0.25">
      <c r="A380" s="34" t="s">
        <v>189</v>
      </c>
      <c r="B380" s="35"/>
      <c r="C380" s="9">
        <v>232.52</v>
      </c>
      <c r="D380" s="29">
        <f t="shared" si="5"/>
        <v>2.113818181818182</v>
      </c>
      <c r="E380" s="10"/>
      <c r="F380" s="10"/>
      <c r="G380" s="9"/>
      <c r="H380" s="11"/>
    </row>
    <row r="381" spans="1:8" ht="17.399999999999999" x14ac:dyDescent="0.25">
      <c r="A381" s="32" t="s">
        <v>4</v>
      </c>
      <c r="B381" s="33"/>
      <c r="C381" s="12">
        <v>110</v>
      </c>
      <c r="D381" s="30" t="str">
        <f t="shared" si="5"/>
        <v/>
      </c>
      <c r="E381" s="13"/>
      <c r="F381" s="13"/>
      <c r="G381" s="12"/>
      <c r="H381" s="14"/>
    </row>
    <row r="382" spans="1:8" ht="17.399999999999999" x14ac:dyDescent="0.25">
      <c r="A382" s="34" t="s">
        <v>190</v>
      </c>
      <c r="B382" s="35"/>
      <c r="C382" s="9">
        <v>363.89</v>
      </c>
      <c r="D382" s="29">
        <f t="shared" si="5"/>
        <v>2.021611111111111</v>
      </c>
      <c r="E382" s="10"/>
      <c r="F382" s="10"/>
      <c r="G382" s="9"/>
      <c r="H382" s="11"/>
    </row>
    <row r="383" spans="1:8" ht="17.399999999999999" x14ac:dyDescent="0.25">
      <c r="A383" s="32" t="s">
        <v>4</v>
      </c>
      <c r="B383" s="33"/>
      <c r="C383" s="12">
        <v>180</v>
      </c>
      <c r="D383" s="30" t="str">
        <f t="shared" si="5"/>
        <v/>
      </c>
      <c r="E383" s="13"/>
      <c r="F383" s="13"/>
      <c r="G383" s="12"/>
      <c r="H383" s="14"/>
    </row>
    <row r="384" spans="1:8" ht="17.399999999999999" x14ac:dyDescent="0.25">
      <c r="A384" s="34" t="s">
        <v>191</v>
      </c>
      <c r="B384" s="35"/>
      <c r="C384" s="9">
        <v>33.479999999999997</v>
      </c>
      <c r="D384" s="29">
        <f t="shared" si="5"/>
        <v>1.6739999999999999</v>
      </c>
      <c r="E384" s="10"/>
      <c r="F384" s="10"/>
      <c r="G384" s="9"/>
      <c r="H384" s="11"/>
    </row>
    <row r="385" spans="1:8" ht="17.399999999999999" x14ac:dyDescent="0.25">
      <c r="A385" s="32" t="s">
        <v>4</v>
      </c>
      <c r="B385" s="33"/>
      <c r="C385" s="12">
        <v>20</v>
      </c>
      <c r="D385" s="30" t="str">
        <f t="shared" si="5"/>
        <v/>
      </c>
      <c r="E385" s="13"/>
      <c r="F385" s="13"/>
      <c r="G385" s="12"/>
      <c r="H385" s="14"/>
    </row>
    <row r="386" spans="1:8" ht="17.399999999999999" x14ac:dyDescent="0.25">
      <c r="A386" s="34" t="s">
        <v>192</v>
      </c>
      <c r="B386" s="35"/>
      <c r="C386" s="15">
        <v>5670</v>
      </c>
      <c r="D386" s="29">
        <f t="shared" si="5"/>
        <v>5.67</v>
      </c>
      <c r="E386" s="10"/>
      <c r="F386" s="10"/>
      <c r="G386" s="15"/>
      <c r="H386" s="11"/>
    </row>
    <row r="387" spans="1:8" ht="17.399999999999999" x14ac:dyDescent="0.25">
      <c r="A387" s="32" t="s">
        <v>4</v>
      </c>
      <c r="B387" s="33"/>
      <c r="C387" s="16">
        <v>1000</v>
      </c>
      <c r="D387" s="30" t="str">
        <f t="shared" si="5"/>
        <v/>
      </c>
      <c r="E387" s="13"/>
      <c r="F387" s="13"/>
      <c r="G387" s="16"/>
      <c r="H387" s="14"/>
    </row>
    <row r="388" spans="1:8" ht="17.399999999999999" x14ac:dyDescent="0.25">
      <c r="A388" s="34" t="s">
        <v>193</v>
      </c>
      <c r="B388" s="35"/>
      <c r="C388" s="15">
        <v>2520</v>
      </c>
      <c r="D388" s="29">
        <f t="shared" si="5"/>
        <v>4.2</v>
      </c>
      <c r="E388" s="10"/>
      <c r="F388" s="10"/>
      <c r="G388" s="15"/>
      <c r="H388" s="11"/>
    </row>
    <row r="389" spans="1:8" ht="17.399999999999999" x14ac:dyDescent="0.25">
      <c r="A389" s="32" t="s">
        <v>4</v>
      </c>
      <c r="B389" s="33"/>
      <c r="C389" s="12">
        <v>600</v>
      </c>
      <c r="D389" s="30" t="str">
        <f t="shared" si="5"/>
        <v/>
      </c>
      <c r="E389" s="13"/>
      <c r="F389" s="13"/>
      <c r="G389" s="12"/>
      <c r="H389" s="14"/>
    </row>
    <row r="390" spans="1:8" ht="17.399999999999999" x14ac:dyDescent="0.25">
      <c r="A390" s="34" t="s">
        <v>194</v>
      </c>
      <c r="B390" s="35"/>
      <c r="C390" s="9">
        <v>83.24</v>
      </c>
      <c r="D390" s="29">
        <f t="shared" si="5"/>
        <v>1.3873333333333333</v>
      </c>
      <c r="E390" s="10"/>
      <c r="F390" s="10"/>
      <c r="G390" s="9"/>
      <c r="H390" s="11"/>
    </row>
    <row r="391" spans="1:8" ht="17.399999999999999" x14ac:dyDescent="0.25">
      <c r="A391" s="32" t="s">
        <v>4</v>
      </c>
      <c r="B391" s="33"/>
      <c r="C391" s="12">
        <v>60</v>
      </c>
      <c r="D391" s="30" t="str">
        <f t="shared" si="5"/>
        <v/>
      </c>
      <c r="E391" s="13"/>
      <c r="F391" s="13"/>
      <c r="G391" s="12"/>
      <c r="H391" s="14"/>
    </row>
    <row r="392" spans="1:8" ht="17.399999999999999" x14ac:dyDescent="0.25">
      <c r="A392" s="34" t="s">
        <v>195</v>
      </c>
      <c r="B392" s="35"/>
      <c r="C392" s="9">
        <v>91.6</v>
      </c>
      <c r="D392" s="29">
        <f t="shared" si="5"/>
        <v>1.5266666666666666</v>
      </c>
      <c r="E392" s="10"/>
      <c r="F392" s="10"/>
      <c r="G392" s="9"/>
      <c r="H392" s="11"/>
    </row>
    <row r="393" spans="1:8" ht="17.399999999999999" x14ac:dyDescent="0.25">
      <c r="A393" s="32" t="s">
        <v>4</v>
      </c>
      <c r="B393" s="33"/>
      <c r="C393" s="12">
        <v>60</v>
      </c>
      <c r="D393" s="30" t="str">
        <f t="shared" si="5"/>
        <v/>
      </c>
      <c r="E393" s="13"/>
      <c r="F393" s="13"/>
      <c r="G393" s="12"/>
      <c r="H393" s="14"/>
    </row>
    <row r="394" spans="1:8" ht="17.399999999999999" x14ac:dyDescent="0.25">
      <c r="A394" s="34" t="s">
        <v>196</v>
      </c>
      <c r="B394" s="35"/>
      <c r="C394" s="15">
        <v>1013.9</v>
      </c>
      <c r="D394" s="29">
        <f t="shared" ref="D394:D457" si="6">IF($A395="Кол-во",IFERROR($C394/$C395,""),"")</f>
        <v>2.414047619047619</v>
      </c>
      <c r="E394" s="10"/>
      <c r="F394" s="10"/>
      <c r="G394" s="15"/>
      <c r="H394" s="11"/>
    </row>
    <row r="395" spans="1:8" ht="17.399999999999999" x14ac:dyDescent="0.25">
      <c r="A395" s="32" t="s">
        <v>4</v>
      </c>
      <c r="B395" s="33"/>
      <c r="C395" s="12">
        <v>420</v>
      </c>
      <c r="D395" s="30" t="str">
        <f t="shared" si="6"/>
        <v/>
      </c>
      <c r="E395" s="13"/>
      <c r="F395" s="13"/>
      <c r="G395" s="12"/>
      <c r="H395" s="14"/>
    </row>
    <row r="396" spans="1:8" ht="17.399999999999999" x14ac:dyDescent="0.25">
      <c r="A396" s="34" t="s">
        <v>197</v>
      </c>
      <c r="B396" s="35"/>
      <c r="C396" s="9">
        <v>547.16</v>
      </c>
      <c r="D396" s="29">
        <f t="shared" si="6"/>
        <v>1.1399166666666667</v>
      </c>
      <c r="E396" s="10"/>
      <c r="F396" s="10"/>
      <c r="G396" s="9"/>
      <c r="H396" s="11"/>
    </row>
    <row r="397" spans="1:8" ht="17.399999999999999" x14ac:dyDescent="0.25">
      <c r="A397" s="32" t="s">
        <v>4</v>
      </c>
      <c r="B397" s="33"/>
      <c r="C397" s="12">
        <v>480</v>
      </c>
      <c r="D397" s="30" t="str">
        <f t="shared" si="6"/>
        <v/>
      </c>
      <c r="E397" s="13"/>
      <c r="F397" s="13"/>
      <c r="G397" s="12"/>
      <c r="H397" s="14"/>
    </row>
    <row r="398" spans="1:8" ht="17.399999999999999" x14ac:dyDescent="0.25">
      <c r="A398" s="34" t="s">
        <v>198</v>
      </c>
      <c r="B398" s="35"/>
      <c r="C398" s="9">
        <v>141.82</v>
      </c>
      <c r="D398" s="29">
        <f t="shared" si="6"/>
        <v>2.3636666666666666</v>
      </c>
      <c r="E398" s="10"/>
      <c r="F398" s="10"/>
      <c r="G398" s="9"/>
      <c r="H398" s="11"/>
    </row>
    <row r="399" spans="1:8" ht="17.399999999999999" x14ac:dyDescent="0.25">
      <c r="A399" s="32" t="s">
        <v>4</v>
      </c>
      <c r="B399" s="33"/>
      <c r="C399" s="12">
        <v>60</v>
      </c>
      <c r="D399" s="30" t="str">
        <f t="shared" si="6"/>
        <v/>
      </c>
      <c r="E399" s="13"/>
      <c r="F399" s="13"/>
      <c r="G399" s="12"/>
      <c r="H399" s="14"/>
    </row>
    <row r="400" spans="1:8" ht="17.399999999999999" x14ac:dyDescent="0.25">
      <c r="A400" s="34" t="s">
        <v>199</v>
      </c>
      <c r="B400" s="35"/>
      <c r="C400" s="15">
        <v>14328.44</v>
      </c>
      <c r="D400" s="29">
        <f t="shared" si="6"/>
        <v>4.5487111111111114</v>
      </c>
      <c r="E400" s="10"/>
      <c r="F400" s="10"/>
      <c r="G400" s="15"/>
      <c r="H400" s="11"/>
    </row>
    <row r="401" spans="1:8" ht="17.399999999999999" x14ac:dyDescent="0.25">
      <c r="A401" s="32" t="s">
        <v>4</v>
      </c>
      <c r="B401" s="33"/>
      <c r="C401" s="16">
        <v>3150</v>
      </c>
      <c r="D401" s="30" t="str">
        <f t="shared" si="6"/>
        <v/>
      </c>
      <c r="E401" s="13"/>
      <c r="F401" s="13"/>
      <c r="G401" s="16"/>
      <c r="H401" s="14"/>
    </row>
    <row r="402" spans="1:8" ht="17.399999999999999" x14ac:dyDescent="0.25">
      <c r="A402" s="34" t="s">
        <v>200</v>
      </c>
      <c r="B402" s="35"/>
      <c r="C402" s="15">
        <v>1576.8</v>
      </c>
      <c r="D402" s="29">
        <f t="shared" si="6"/>
        <v>15.767999999999999</v>
      </c>
      <c r="E402" s="10"/>
      <c r="F402" s="10"/>
      <c r="G402" s="15"/>
      <c r="H402" s="11"/>
    </row>
    <row r="403" spans="1:8" ht="17.399999999999999" x14ac:dyDescent="0.25">
      <c r="A403" s="32" t="s">
        <v>4</v>
      </c>
      <c r="B403" s="33"/>
      <c r="C403" s="12">
        <v>100</v>
      </c>
      <c r="D403" s="30" t="str">
        <f t="shared" si="6"/>
        <v/>
      </c>
      <c r="E403" s="13"/>
      <c r="F403" s="13"/>
      <c r="G403" s="12"/>
      <c r="H403" s="14"/>
    </row>
    <row r="404" spans="1:8" ht="17.399999999999999" x14ac:dyDescent="0.25">
      <c r="A404" s="34" t="s">
        <v>201</v>
      </c>
      <c r="B404" s="35"/>
      <c r="C404" s="15">
        <v>1385.02</v>
      </c>
      <c r="D404" s="29">
        <f t="shared" si="6"/>
        <v>19.786000000000001</v>
      </c>
      <c r="E404" s="10"/>
      <c r="F404" s="10"/>
      <c r="G404" s="15"/>
      <c r="H404" s="11"/>
    </row>
    <row r="405" spans="1:8" ht="17.399999999999999" x14ac:dyDescent="0.25">
      <c r="A405" s="32" t="s">
        <v>4</v>
      </c>
      <c r="B405" s="33"/>
      <c r="C405" s="12">
        <v>70</v>
      </c>
      <c r="D405" s="30" t="str">
        <f t="shared" si="6"/>
        <v/>
      </c>
      <c r="E405" s="13"/>
      <c r="F405" s="13"/>
      <c r="G405" s="12"/>
      <c r="H405" s="14"/>
    </row>
    <row r="406" spans="1:8" ht="17.399999999999999" x14ac:dyDescent="0.25">
      <c r="A406" s="34" t="s">
        <v>202</v>
      </c>
      <c r="B406" s="35"/>
      <c r="C406" s="15">
        <v>1928.18</v>
      </c>
      <c r="D406" s="29">
        <f t="shared" si="6"/>
        <v>9.181809523809525</v>
      </c>
      <c r="E406" s="10"/>
      <c r="F406" s="10"/>
      <c r="G406" s="15"/>
      <c r="H406" s="11"/>
    </row>
    <row r="407" spans="1:8" ht="17.399999999999999" x14ac:dyDescent="0.25">
      <c r="A407" s="32" t="s">
        <v>4</v>
      </c>
      <c r="B407" s="33"/>
      <c r="C407" s="12">
        <v>210</v>
      </c>
      <c r="D407" s="30" t="str">
        <f t="shared" si="6"/>
        <v/>
      </c>
      <c r="E407" s="13"/>
      <c r="F407" s="13"/>
      <c r="G407" s="12"/>
      <c r="H407" s="14"/>
    </row>
    <row r="408" spans="1:8" ht="17.399999999999999" x14ac:dyDescent="0.25">
      <c r="A408" s="34" t="s">
        <v>203</v>
      </c>
      <c r="B408" s="35"/>
      <c r="C408" s="9">
        <v>884.28</v>
      </c>
      <c r="D408" s="29">
        <f t="shared" si="6"/>
        <v>22.106999999999999</v>
      </c>
      <c r="E408" s="10"/>
      <c r="F408" s="10"/>
      <c r="G408" s="9"/>
      <c r="H408" s="11"/>
    </row>
    <row r="409" spans="1:8" ht="17.399999999999999" x14ac:dyDescent="0.25">
      <c r="A409" s="32" t="s">
        <v>4</v>
      </c>
      <c r="B409" s="33"/>
      <c r="C409" s="12">
        <v>40</v>
      </c>
      <c r="D409" s="30" t="str">
        <f t="shared" si="6"/>
        <v/>
      </c>
      <c r="E409" s="13"/>
      <c r="F409" s="13"/>
      <c r="G409" s="12"/>
      <c r="H409" s="14"/>
    </row>
    <row r="410" spans="1:8" ht="17.399999999999999" x14ac:dyDescent="0.25">
      <c r="A410" s="34" t="s">
        <v>204</v>
      </c>
      <c r="B410" s="35"/>
      <c r="C410" s="15">
        <v>25481.49</v>
      </c>
      <c r="D410" s="29">
        <f t="shared" si="6"/>
        <v>5.4681309012875543</v>
      </c>
      <c r="E410" s="10"/>
      <c r="F410" s="10"/>
      <c r="G410" s="15"/>
      <c r="H410" s="11"/>
    </row>
    <row r="411" spans="1:8" ht="17.399999999999999" x14ac:dyDescent="0.25">
      <c r="A411" s="32" t="s">
        <v>4</v>
      </c>
      <c r="B411" s="33"/>
      <c r="C411" s="16">
        <v>4660</v>
      </c>
      <c r="D411" s="30" t="str">
        <f t="shared" si="6"/>
        <v/>
      </c>
      <c r="E411" s="13"/>
      <c r="F411" s="13"/>
      <c r="G411" s="16"/>
      <c r="H411" s="14"/>
    </row>
    <row r="412" spans="1:8" ht="17.399999999999999" x14ac:dyDescent="0.25">
      <c r="A412" s="34" t="s">
        <v>205</v>
      </c>
      <c r="B412" s="35"/>
      <c r="C412" s="15">
        <v>26284.86</v>
      </c>
      <c r="D412" s="29">
        <f t="shared" si="6"/>
        <v>9.2879363957597167</v>
      </c>
      <c r="E412" s="10"/>
      <c r="F412" s="10"/>
      <c r="G412" s="15"/>
      <c r="H412" s="11"/>
    </row>
    <row r="413" spans="1:8" ht="17.399999999999999" x14ac:dyDescent="0.25">
      <c r="A413" s="32" t="s">
        <v>4</v>
      </c>
      <c r="B413" s="33"/>
      <c r="C413" s="16">
        <v>2830</v>
      </c>
      <c r="D413" s="30" t="str">
        <f t="shared" si="6"/>
        <v/>
      </c>
      <c r="E413" s="13"/>
      <c r="F413" s="13"/>
      <c r="G413" s="16"/>
      <c r="H413" s="14"/>
    </row>
    <row r="414" spans="1:8" ht="17.399999999999999" x14ac:dyDescent="0.25">
      <c r="A414" s="34" t="s">
        <v>206</v>
      </c>
      <c r="B414" s="35"/>
      <c r="C414" s="15">
        <v>23593.11</v>
      </c>
      <c r="D414" s="29">
        <f t="shared" si="6"/>
        <v>3.5161117734724292</v>
      </c>
      <c r="E414" s="10"/>
      <c r="F414" s="10"/>
      <c r="G414" s="15"/>
      <c r="H414" s="11"/>
    </row>
    <row r="415" spans="1:8" ht="17.399999999999999" x14ac:dyDescent="0.25">
      <c r="A415" s="32" t="s">
        <v>4</v>
      </c>
      <c r="B415" s="33"/>
      <c r="C415" s="16">
        <v>6710</v>
      </c>
      <c r="D415" s="30" t="str">
        <f t="shared" si="6"/>
        <v/>
      </c>
      <c r="E415" s="13"/>
      <c r="F415" s="13"/>
      <c r="G415" s="16"/>
      <c r="H415" s="14"/>
    </row>
    <row r="416" spans="1:8" ht="17.399999999999999" x14ac:dyDescent="0.25">
      <c r="A416" s="34" t="s">
        <v>207</v>
      </c>
      <c r="B416" s="35"/>
      <c r="C416" s="15">
        <v>83756.66</v>
      </c>
      <c r="D416" s="29">
        <f t="shared" si="6"/>
        <v>7.7337636195752539</v>
      </c>
      <c r="E416" s="10"/>
      <c r="F416" s="10"/>
      <c r="G416" s="15"/>
      <c r="H416" s="11"/>
    </row>
    <row r="417" spans="1:8" ht="17.399999999999999" x14ac:dyDescent="0.25">
      <c r="A417" s="32" t="s">
        <v>4</v>
      </c>
      <c r="B417" s="33"/>
      <c r="C417" s="16">
        <v>10830</v>
      </c>
      <c r="D417" s="30" t="str">
        <f t="shared" si="6"/>
        <v/>
      </c>
      <c r="E417" s="13"/>
      <c r="F417" s="13"/>
      <c r="G417" s="16"/>
      <c r="H417" s="14"/>
    </row>
    <row r="418" spans="1:8" ht="17.399999999999999" x14ac:dyDescent="0.25">
      <c r="A418" s="34" t="s">
        <v>208</v>
      </c>
      <c r="B418" s="35"/>
      <c r="C418" s="15">
        <v>90621.21</v>
      </c>
      <c r="D418" s="29">
        <f t="shared" si="6"/>
        <v>108.52839520958085</v>
      </c>
      <c r="E418" s="10"/>
      <c r="F418" s="10"/>
      <c r="G418" s="15"/>
      <c r="H418" s="11"/>
    </row>
    <row r="419" spans="1:8" ht="17.399999999999999" x14ac:dyDescent="0.25">
      <c r="A419" s="32" t="s">
        <v>4</v>
      </c>
      <c r="B419" s="33"/>
      <c r="C419" s="12">
        <v>835</v>
      </c>
      <c r="D419" s="30" t="str">
        <f t="shared" si="6"/>
        <v/>
      </c>
      <c r="E419" s="13"/>
      <c r="F419" s="13"/>
      <c r="G419" s="12"/>
      <c r="H419" s="14"/>
    </row>
    <row r="420" spans="1:8" ht="17.399999999999999" x14ac:dyDescent="0.25">
      <c r="A420" s="34" t="s">
        <v>209</v>
      </c>
      <c r="B420" s="35"/>
      <c r="C420" s="15">
        <v>10978.51</v>
      </c>
      <c r="D420" s="29">
        <f t="shared" si="6"/>
        <v>73.190066666666667</v>
      </c>
      <c r="E420" s="10"/>
      <c r="F420" s="10"/>
      <c r="G420" s="15"/>
      <c r="H420" s="11"/>
    </row>
    <row r="421" spans="1:8" ht="17.399999999999999" x14ac:dyDescent="0.25">
      <c r="A421" s="32" t="s">
        <v>4</v>
      </c>
      <c r="B421" s="33"/>
      <c r="C421" s="12">
        <v>150</v>
      </c>
      <c r="D421" s="30" t="str">
        <f t="shared" si="6"/>
        <v/>
      </c>
      <c r="E421" s="13"/>
      <c r="F421" s="13"/>
      <c r="G421" s="12"/>
      <c r="H421" s="14"/>
    </row>
    <row r="422" spans="1:8" ht="17.399999999999999" x14ac:dyDescent="0.25">
      <c r="A422" s="34" t="s">
        <v>210</v>
      </c>
      <c r="B422" s="35"/>
      <c r="C422" s="9">
        <v>180</v>
      </c>
      <c r="D422" s="29">
        <f t="shared" si="6"/>
        <v>180</v>
      </c>
      <c r="E422" s="10"/>
      <c r="F422" s="10"/>
      <c r="G422" s="9"/>
      <c r="H422" s="11"/>
    </row>
    <row r="423" spans="1:8" ht="17.399999999999999" x14ac:dyDescent="0.25">
      <c r="A423" s="32" t="s">
        <v>4</v>
      </c>
      <c r="B423" s="33"/>
      <c r="C423" s="12">
        <v>1</v>
      </c>
      <c r="D423" s="30" t="str">
        <f t="shared" si="6"/>
        <v/>
      </c>
      <c r="E423" s="13"/>
      <c r="F423" s="13"/>
      <c r="G423" s="12"/>
      <c r="H423" s="14"/>
    </row>
    <row r="424" spans="1:8" ht="17.399999999999999" x14ac:dyDescent="0.25">
      <c r="A424" s="34" t="s">
        <v>211</v>
      </c>
      <c r="B424" s="35"/>
      <c r="C424" s="15">
        <v>1354.64</v>
      </c>
      <c r="D424" s="29">
        <f t="shared" si="6"/>
        <v>18.305945945945947</v>
      </c>
      <c r="E424" s="10"/>
      <c r="F424" s="10"/>
      <c r="G424" s="15"/>
      <c r="H424" s="11"/>
    </row>
    <row r="425" spans="1:8" ht="17.399999999999999" x14ac:dyDescent="0.25">
      <c r="A425" s="32" t="s">
        <v>4</v>
      </c>
      <c r="B425" s="33"/>
      <c r="C425" s="12">
        <v>74</v>
      </c>
      <c r="D425" s="30" t="str">
        <f t="shared" si="6"/>
        <v/>
      </c>
      <c r="E425" s="13"/>
      <c r="F425" s="13"/>
      <c r="G425" s="12"/>
      <c r="H425" s="14"/>
    </row>
    <row r="426" spans="1:8" ht="17.399999999999999" x14ac:dyDescent="0.25">
      <c r="A426" s="34" t="s">
        <v>212</v>
      </c>
      <c r="B426" s="35"/>
      <c r="C426" s="9">
        <v>202.48</v>
      </c>
      <c r="D426" s="29">
        <f t="shared" si="6"/>
        <v>0.8803478260869565</v>
      </c>
      <c r="E426" s="10"/>
      <c r="F426" s="10"/>
      <c r="G426" s="9"/>
      <c r="H426" s="11"/>
    </row>
    <row r="427" spans="1:8" ht="17.399999999999999" x14ac:dyDescent="0.25">
      <c r="A427" s="32" t="s">
        <v>4</v>
      </c>
      <c r="B427" s="33"/>
      <c r="C427" s="12">
        <v>230</v>
      </c>
      <c r="D427" s="30" t="str">
        <f t="shared" si="6"/>
        <v/>
      </c>
      <c r="E427" s="13"/>
      <c r="F427" s="13"/>
      <c r="G427" s="12"/>
      <c r="H427" s="14"/>
    </row>
    <row r="428" spans="1:8" ht="17.399999999999999" x14ac:dyDescent="0.25">
      <c r="A428" s="34" t="s">
        <v>213</v>
      </c>
      <c r="B428" s="35"/>
      <c r="C428" s="15">
        <v>15735.6</v>
      </c>
      <c r="D428" s="29">
        <f t="shared" si="6"/>
        <v>786.78</v>
      </c>
      <c r="E428" s="10"/>
      <c r="F428" s="10"/>
      <c r="G428" s="15"/>
      <c r="H428" s="11"/>
    </row>
    <row r="429" spans="1:8" ht="17.399999999999999" x14ac:dyDescent="0.25">
      <c r="A429" s="32" t="s">
        <v>4</v>
      </c>
      <c r="B429" s="33"/>
      <c r="C429" s="12">
        <v>20</v>
      </c>
      <c r="D429" s="30" t="str">
        <f t="shared" si="6"/>
        <v/>
      </c>
      <c r="E429" s="13"/>
      <c r="F429" s="13"/>
      <c r="G429" s="12"/>
      <c r="H429" s="14"/>
    </row>
    <row r="430" spans="1:8" ht="17.399999999999999" x14ac:dyDescent="0.25">
      <c r="A430" s="34" t="s">
        <v>214</v>
      </c>
      <c r="B430" s="35"/>
      <c r="C430" s="15">
        <v>1280.56</v>
      </c>
      <c r="D430" s="29">
        <f t="shared" si="6"/>
        <v>0.18971259259259257</v>
      </c>
      <c r="E430" s="10"/>
      <c r="F430" s="10"/>
      <c r="G430" s="15"/>
      <c r="H430" s="11"/>
    </row>
    <row r="431" spans="1:8" ht="17.399999999999999" x14ac:dyDescent="0.25">
      <c r="A431" s="32" t="s">
        <v>4</v>
      </c>
      <c r="B431" s="33"/>
      <c r="C431" s="16">
        <v>6750</v>
      </c>
      <c r="D431" s="30" t="str">
        <f t="shared" si="6"/>
        <v/>
      </c>
      <c r="E431" s="13"/>
      <c r="F431" s="13"/>
      <c r="G431" s="16"/>
      <c r="H431" s="14"/>
    </row>
    <row r="432" spans="1:8" ht="17.399999999999999" x14ac:dyDescent="0.25">
      <c r="A432" s="34" t="s">
        <v>215</v>
      </c>
      <c r="B432" s="35"/>
      <c r="C432" s="15">
        <v>1964.95</v>
      </c>
      <c r="D432" s="29">
        <f t="shared" si="6"/>
        <v>12.677096774193549</v>
      </c>
      <c r="E432" s="10"/>
      <c r="F432" s="10"/>
      <c r="G432" s="15"/>
      <c r="H432" s="11"/>
    </row>
    <row r="433" spans="1:8" ht="17.399999999999999" x14ac:dyDescent="0.25">
      <c r="A433" s="32" t="s">
        <v>4</v>
      </c>
      <c r="B433" s="33"/>
      <c r="C433" s="12">
        <v>155</v>
      </c>
      <c r="D433" s="30" t="str">
        <f t="shared" si="6"/>
        <v/>
      </c>
      <c r="E433" s="13"/>
      <c r="F433" s="13"/>
      <c r="G433" s="12"/>
      <c r="H433" s="14"/>
    </row>
    <row r="434" spans="1:8" ht="17.399999999999999" x14ac:dyDescent="0.25">
      <c r="A434" s="34" t="s">
        <v>216</v>
      </c>
      <c r="B434" s="35"/>
      <c r="C434" s="15">
        <v>1593.54</v>
      </c>
      <c r="D434" s="29">
        <f t="shared" si="6"/>
        <v>1.810840909090909</v>
      </c>
      <c r="E434" s="10"/>
      <c r="F434" s="10"/>
      <c r="G434" s="15"/>
      <c r="H434" s="11"/>
    </row>
    <row r="435" spans="1:8" ht="17.399999999999999" x14ac:dyDescent="0.25">
      <c r="A435" s="32" t="s">
        <v>4</v>
      </c>
      <c r="B435" s="33"/>
      <c r="C435" s="12">
        <v>880</v>
      </c>
      <c r="D435" s="30" t="str">
        <f t="shared" si="6"/>
        <v/>
      </c>
      <c r="E435" s="13"/>
      <c r="F435" s="13"/>
      <c r="G435" s="12"/>
      <c r="H435" s="14"/>
    </row>
    <row r="436" spans="1:8" ht="17.399999999999999" x14ac:dyDescent="0.25">
      <c r="A436" s="34" t="s">
        <v>217</v>
      </c>
      <c r="B436" s="35"/>
      <c r="C436" s="9">
        <v>697.75</v>
      </c>
      <c r="D436" s="29">
        <f t="shared" si="6"/>
        <v>1.1629166666666666</v>
      </c>
      <c r="E436" s="10"/>
      <c r="F436" s="10"/>
      <c r="G436" s="9"/>
      <c r="H436" s="11"/>
    </row>
    <row r="437" spans="1:8" ht="17.399999999999999" x14ac:dyDescent="0.25">
      <c r="A437" s="32" t="s">
        <v>4</v>
      </c>
      <c r="B437" s="33"/>
      <c r="C437" s="12">
        <v>600</v>
      </c>
      <c r="D437" s="30" t="str">
        <f t="shared" si="6"/>
        <v/>
      </c>
      <c r="E437" s="13"/>
      <c r="F437" s="13"/>
      <c r="G437" s="12"/>
      <c r="H437" s="14"/>
    </row>
    <row r="438" spans="1:8" ht="17.399999999999999" x14ac:dyDescent="0.25">
      <c r="A438" s="34" t="s">
        <v>218</v>
      </c>
      <c r="B438" s="35"/>
      <c r="C438" s="15">
        <v>32518.05</v>
      </c>
      <c r="D438" s="29">
        <f t="shared" si="6"/>
        <v>14.200021834061134</v>
      </c>
      <c r="E438" s="10"/>
      <c r="F438" s="10"/>
      <c r="G438" s="15"/>
      <c r="H438" s="11"/>
    </row>
    <row r="439" spans="1:8" ht="17.399999999999999" x14ac:dyDescent="0.25">
      <c r="A439" s="32" t="s">
        <v>4</v>
      </c>
      <c r="B439" s="33"/>
      <c r="C439" s="16">
        <v>2290</v>
      </c>
      <c r="D439" s="30" t="str">
        <f t="shared" si="6"/>
        <v/>
      </c>
      <c r="E439" s="13"/>
      <c r="F439" s="13"/>
      <c r="G439" s="16"/>
      <c r="H439" s="14"/>
    </row>
    <row r="440" spans="1:8" ht="17.399999999999999" x14ac:dyDescent="0.25">
      <c r="A440" s="34" t="s">
        <v>219</v>
      </c>
      <c r="B440" s="35"/>
      <c r="C440" s="9">
        <v>745.6</v>
      </c>
      <c r="D440" s="29">
        <f t="shared" si="6"/>
        <v>4.8415584415584414</v>
      </c>
      <c r="E440" s="10"/>
      <c r="F440" s="10"/>
      <c r="G440" s="9"/>
      <c r="H440" s="11"/>
    </row>
    <row r="441" spans="1:8" ht="17.399999999999999" x14ac:dyDescent="0.25">
      <c r="A441" s="32" t="s">
        <v>4</v>
      </c>
      <c r="B441" s="33"/>
      <c r="C441" s="12">
        <v>154</v>
      </c>
      <c r="D441" s="30" t="str">
        <f t="shared" si="6"/>
        <v/>
      </c>
      <c r="E441" s="13"/>
      <c r="F441" s="13"/>
      <c r="G441" s="12"/>
      <c r="H441" s="14"/>
    </row>
    <row r="442" spans="1:8" ht="17.399999999999999" x14ac:dyDescent="0.25">
      <c r="A442" s="34" t="s">
        <v>220</v>
      </c>
      <c r="B442" s="35"/>
      <c r="C442" s="15">
        <v>5101.74</v>
      </c>
      <c r="D442" s="29">
        <f t="shared" si="6"/>
        <v>2.2376052631578944</v>
      </c>
      <c r="E442" s="10"/>
      <c r="F442" s="10"/>
      <c r="G442" s="15"/>
      <c r="H442" s="11"/>
    </row>
    <row r="443" spans="1:8" ht="17.399999999999999" x14ac:dyDescent="0.25">
      <c r="A443" s="32" t="s">
        <v>4</v>
      </c>
      <c r="B443" s="33"/>
      <c r="C443" s="16">
        <v>2280</v>
      </c>
      <c r="D443" s="30" t="str">
        <f t="shared" si="6"/>
        <v/>
      </c>
      <c r="E443" s="13"/>
      <c r="F443" s="13"/>
      <c r="G443" s="16"/>
      <c r="H443" s="14"/>
    </row>
    <row r="444" spans="1:8" ht="17.399999999999999" x14ac:dyDescent="0.25">
      <c r="A444" s="34" t="s">
        <v>221</v>
      </c>
      <c r="B444" s="35"/>
      <c r="C444" s="15">
        <v>37718.46</v>
      </c>
      <c r="D444" s="29">
        <f t="shared" si="6"/>
        <v>10.869873198847262</v>
      </c>
      <c r="E444" s="10"/>
      <c r="F444" s="10"/>
      <c r="G444" s="15"/>
      <c r="H444" s="11"/>
    </row>
    <row r="445" spans="1:8" ht="17.399999999999999" x14ac:dyDescent="0.25">
      <c r="A445" s="32" t="s">
        <v>4</v>
      </c>
      <c r="B445" s="33"/>
      <c r="C445" s="16">
        <v>3470</v>
      </c>
      <c r="D445" s="30" t="str">
        <f t="shared" si="6"/>
        <v/>
      </c>
      <c r="E445" s="13"/>
      <c r="F445" s="13"/>
      <c r="G445" s="16"/>
      <c r="H445" s="14"/>
    </row>
    <row r="446" spans="1:8" ht="17.399999999999999" x14ac:dyDescent="0.25">
      <c r="A446" s="34" t="s">
        <v>222</v>
      </c>
      <c r="B446" s="35"/>
      <c r="C446" s="9">
        <v>242.68</v>
      </c>
      <c r="D446" s="29">
        <f t="shared" si="6"/>
        <v>0.80893333333333339</v>
      </c>
      <c r="E446" s="10"/>
      <c r="F446" s="10"/>
      <c r="G446" s="9"/>
      <c r="H446" s="11"/>
    </row>
    <row r="447" spans="1:8" ht="17.399999999999999" x14ac:dyDescent="0.25">
      <c r="A447" s="32" t="s">
        <v>4</v>
      </c>
      <c r="B447" s="33"/>
      <c r="C447" s="12">
        <v>300</v>
      </c>
      <c r="D447" s="30" t="str">
        <f t="shared" si="6"/>
        <v/>
      </c>
      <c r="E447" s="13"/>
      <c r="F447" s="13"/>
      <c r="G447" s="12"/>
      <c r="H447" s="14"/>
    </row>
    <row r="448" spans="1:8" ht="17.399999999999999" x14ac:dyDescent="0.25">
      <c r="A448" s="34" t="s">
        <v>223</v>
      </c>
      <c r="B448" s="35"/>
      <c r="C448" s="15">
        <v>1395.24</v>
      </c>
      <c r="D448" s="29">
        <f t="shared" si="6"/>
        <v>1.033511111111111</v>
      </c>
      <c r="E448" s="10"/>
      <c r="F448" s="10"/>
      <c r="G448" s="15"/>
      <c r="H448" s="11"/>
    </row>
    <row r="449" spans="1:8" ht="17.399999999999999" x14ac:dyDescent="0.25">
      <c r="A449" s="32" t="s">
        <v>4</v>
      </c>
      <c r="B449" s="33"/>
      <c r="C449" s="16">
        <v>1350</v>
      </c>
      <c r="D449" s="30" t="str">
        <f t="shared" si="6"/>
        <v/>
      </c>
      <c r="E449" s="13"/>
      <c r="F449" s="13"/>
      <c r="G449" s="16"/>
      <c r="H449" s="14"/>
    </row>
    <row r="450" spans="1:8" ht="17.399999999999999" x14ac:dyDescent="0.25">
      <c r="A450" s="34" t="s">
        <v>224</v>
      </c>
      <c r="B450" s="35"/>
      <c r="C450" s="15">
        <v>2245.96</v>
      </c>
      <c r="D450" s="29">
        <f t="shared" si="6"/>
        <v>1.2617752808988765</v>
      </c>
      <c r="E450" s="10"/>
      <c r="F450" s="10"/>
      <c r="G450" s="15"/>
      <c r="H450" s="11"/>
    </row>
    <row r="451" spans="1:8" ht="17.399999999999999" x14ac:dyDescent="0.25">
      <c r="A451" s="32" t="s">
        <v>4</v>
      </c>
      <c r="B451" s="33"/>
      <c r="C451" s="16">
        <v>1780</v>
      </c>
      <c r="D451" s="30" t="str">
        <f t="shared" si="6"/>
        <v/>
      </c>
      <c r="E451" s="13"/>
      <c r="F451" s="13"/>
      <c r="G451" s="16"/>
      <c r="H451" s="14"/>
    </row>
    <row r="452" spans="1:8" ht="17.399999999999999" x14ac:dyDescent="0.25">
      <c r="A452" s="34" t="s">
        <v>225</v>
      </c>
      <c r="B452" s="35"/>
      <c r="C452" s="15">
        <v>1447.36</v>
      </c>
      <c r="D452" s="29">
        <f t="shared" si="6"/>
        <v>1.1719514170040486</v>
      </c>
      <c r="E452" s="10"/>
      <c r="F452" s="10"/>
      <c r="G452" s="15"/>
      <c r="H452" s="11"/>
    </row>
    <row r="453" spans="1:8" ht="17.399999999999999" x14ac:dyDescent="0.25">
      <c r="A453" s="32" t="s">
        <v>4</v>
      </c>
      <c r="B453" s="33"/>
      <c r="C453" s="16">
        <v>1235</v>
      </c>
      <c r="D453" s="30" t="str">
        <f t="shared" si="6"/>
        <v/>
      </c>
      <c r="E453" s="13"/>
      <c r="F453" s="13"/>
      <c r="G453" s="16"/>
      <c r="H453" s="14"/>
    </row>
    <row r="454" spans="1:8" ht="17.399999999999999" x14ac:dyDescent="0.25">
      <c r="A454" s="34" t="s">
        <v>226</v>
      </c>
      <c r="B454" s="35"/>
      <c r="C454" s="15">
        <v>1141.29</v>
      </c>
      <c r="D454" s="29">
        <f t="shared" si="6"/>
        <v>1.1705538461538461</v>
      </c>
      <c r="E454" s="10"/>
      <c r="F454" s="10"/>
      <c r="G454" s="15"/>
      <c r="H454" s="11"/>
    </row>
    <row r="455" spans="1:8" ht="17.399999999999999" x14ac:dyDescent="0.25">
      <c r="A455" s="32" t="s">
        <v>4</v>
      </c>
      <c r="B455" s="33"/>
      <c r="C455" s="12">
        <v>975</v>
      </c>
      <c r="D455" s="30" t="str">
        <f t="shared" si="6"/>
        <v/>
      </c>
      <c r="E455" s="13"/>
      <c r="F455" s="13"/>
      <c r="G455" s="12"/>
      <c r="H455" s="14"/>
    </row>
    <row r="456" spans="1:8" ht="17.399999999999999" x14ac:dyDescent="0.25">
      <c r="A456" s="34" t="s">
        <v>227</v>
      </c>
      <c r="B456" s="35"/>
      <c r="C456" s="15">
        <v>13655.33</v>
      </c>
      <c r="D456" s="29">
        <f t="shared" si="6"/>
        <v>3.4526750948166876</v>
      </c>
      <c r="E456" s="10"/>
      <c r="F456" s="10"/>
      <c r="G456" s="15"/>
      <c r="H456" s="11"/>
    </row>
    <row r="457" spans="1:8" ht="17.399999999999999" x14ac:dyDescent="0.25">
      <c r="A457" s="32" t="s">
        <v>4</v>
      </c>
      <c r="B457" s="33"/>
      <c r="C457" s="16">
        <v>3955</v>
      </c>
      <c r="D457" s="30" t="str">
        <f t="shared" si="6"/>
        <v/>
      </c>
      <c r="E457" s="13"/>
      <c r="F457" s="13"/>
      <c r="G457" s="16"/>
      <c r="H457" s="14"/>
    </row>
    <row r="458" spans="1:8" ht="17.399999999999999" x14ac:dyDescent="0.25">
      <c r="A458" s="34" t="s">
        <v>228</v>
      </c>
      <c r="B458" s="35"/>
      <c r="C458" s="15">
        <v>23059.08</v>
      </c>
      <c r="D458" s="29">
        <f t="shared" ref="D458:D521" si="7">IF($A459="Кол-во",IFERROR($C458/$C459,""),"")</f>
        <v>6.9876000000000005</v>
      </c>
      <c r="E458" s="10"/>
      <c r="F458" s="10"/>
      <c r="G458" s="15"/>
      <c r="H458" s="11"/>
    </row>
    <row r="459" spans="1:8" ht="17.399999999999999" x14ac:dyDescent="0.25">
      <c r="A459" s="32" t="s">
        <v>4</v>
      </c>
      <c r="B459" s="33"/>
      <c r="C459" s="16">
        <v>3300</v>
      </c>
      <c r="D459" s="30" t="str">
        <f t="shared" si="7"/>
        <v/>
      </c>
      <c r="E459" s="13"/>
      <c r="F459" s="13"/>
      <c r="G459" s="16"/>
      <c r="H459" s="14"/>
    </row>
    <row r="460" spans="1:8" ht="17.399999999999999" x14ac:dyDescent="0.25">
      <c r="A460" s="34" t="s">
        <v>229</v>
      </c>
      <c r="B460" s="35"/>
      <c r="C460" s="15">
        <v>12840.52</v>
      </c>
      <c r="D460" s="29">
        <f t="shared" si="7"/>
        <v>6.8264327485380116</v>
      </c>
      <c r="E460" s="10"/>
      <c r="F460" s="10"/>
      <c r="G460" s="15"/>
      <c r="H460" s="11"/>
    </row>
    <row r="461" spans="1:8" ht="17.399999999999999" x14ac:dyDescent="0.25">
      <c r="A461" s="32" t="s">
        <v>4</v>
      </c>
      <c r="B461" s="33"/>
      <c r="C461" s="16">
        <v>1881</v>
      </c>
      <c r="D461" s="30" t="str">
        <f t="shared" si="7"/>
        <v/>
      </c>
      <c r="E461" s="13"/>
      <c r="F461" s="13"/>
      <c r="G461" s="16"/>
      <c r="H461" s="14"/>
    </row>
    <row r="462" spans="1:8" ht="17.399999999999999" x14ac:dyDescent="0.25">
      <c r="A462" s="34" t="s">
        <v>230</v>
      </c>
      <c r="B462" s="35"/>
      <c r="C462" s="15">
        <v>11491.43</v>
      </c>
      <c r="D462" s="29">
        <f t="shared" si="7"/>
        <v>7.5951288830138797</v>
      </c>
      <c r="E462" s="10"/>
      <c r="F462" s="10"/>
      <c r="G462" s="15"/>
      <c r="H462" s="11"/>
    </row>
    <row r="463" spans="1:8" ht="17.399999999999999" x14ac:dyDescent="0.25">
      <c r="A463" s="32" t="s">
        <v>4</v>
      </c>
      <c r="B463" s="33"/>
      <c r="C463" s="16">
        <v>1513</v>
      </c>
      <c r="D463" s="30" t="str">
        <f t="shared" si="7"/>
        <v/>
      </c>
      <c r="E463" s="13"/>
      <c r="F463" s="13"/>
      <c r="G463" s="16"/>
      <c r="H463" s="14"/>
    </row>
    <row r="464" spans="1:8" ht="17.399999999999999" x14ac:dyDescent="0.25">
      <c r="A464" s="34" t="s">
        <v>231</v>
      </c>
      <c r="B464" s="35"/>
      <c r="C464" s="15">
        <v>1923.5</v>
      </c>
      <c r="D464" s="29">
        <f t="shared" si="7"/>
        <v>3.0054687499999999</v>
      </c>
      <c r="E464" s="10"/>
      <c r="F464" s="10"/>
      <c r="G464" s="15"/>
      <c r="H464" s="11"/>
    </row>
    <row r="465" spans="1:8" ht="17.399999999999999" x14ac:dyDescent="0.25">
      <c r="A465" s="32" t="s">
        <v>4</v>
      </c>
      <c r="B465" s="33"/>
      <c r="C465" s="12">
        <v>640</v>
      </c>
      <c r="D465" s="30" t="str">
        <f t="shared" si="7"/>
        <v/>
      </c>
      <c r="E465" s="13"/>
      <c r="F465" s="13"/>
      <c r="G465" s="12"/>
      <c r="H465" s="14"/>
    </row>
    <row r="466" spans="1:8" ht="17.399999999999999" x14ac:dyDescent="0.25">
      <c r="A466" s="34" t="s">
        <v>232</v>
      </c>
      <c r="B466" s="35"/>
      <c r="C466" s="15">
        <v>32516.080000000002</v>
      </c>
      <c r="D466" s="29">
        <f t="shared" si="7"/>
        <v>4.5092331160726671</v>
      </c>
      <c r="E466" s="10"/>
      <c r="F466" s="10"/>
      <c r="G466" s="15"/>
      <c r="H466" s="11"/>
    </row>
    <row r="467" spans="1:8" ht="17.399999999999999" x14ac:dyDescent="0.25">
      <c r="A467" s="32" t="s">
        <v>4</v>
      </c>
      <c r="B467" s="33"/>
      <c r="C467" s="16">
        <v>7211</v>
      </c>
      <c r="D467" s="30" t="str">
        <f t="shared" si="7"/>
        <v/>
      </c>
      <c r="E467" s="13"/>
      <c r="F467" s="13"/>
      <c r="G467" s="16"/>
      <c r="H467" s="14"/>
    </row>
    <row r="468" spans="1:8" ht="17.399999999999999" x14ac:dyDescent="0.25">
      <c r="A468" s="34" t="s">
        <v>233</v>
      </c>
      <c r="B468" s="35"/>
      <c r="C468" s="15">
        <v>1348.03</v>
      </c>
      <c r="D468" s="29">
        <f t="shared" si="7"/>
        <v>0.99854074074074073</v>
      </c>
      <c r="E468" s="10"/>
      <c r="F468" s="10"/>
      <c r="G468" s="15"/>
      <c r="H468" s="11"/>
    </row>
    <row r="469" spans="1:8" ht="17.399999999999999" x14ac:dyDescent="0.25">
      <c r="A469" s="32" t="s">
        <v>4</v>
      </c>
      <c r="B469" s="33"/>
      <c r="C469" s="16">
        <v>1350</v>
      </c>
      <c r="D469" s="30" t="str">
        <f t="shared" si="7"/>
        <v/>
      </c>
      <c r="E469" s="13"/>
      <c r="F469" s="13"/>
      <c r="G469" s="16"/>
      <c r="H469" s="14"/>
    </row>
    <row r="470" spans="1:8" ht="17.399999999999999" x14ac:dyDescent="0.25">
      <c r="A470" s="34" t="s">
        <v>234</v>
      </c>
      <c r="B470" s="35"/>
      <c r="C470" s="9">
        <v>875.88</v>
      </c>
      <c r="D470" s="29">
        <f t="shared" si="7"/>
        <v>0.79625454545454544</v>
      </c>
      <c r="E470" s="10"/>
      <c r="F470" s="10"/>
      <c r="G470" s="9"/>
      <c r="H470" s="11"/>
    </row>
    <row r="471" spans="1:8" ht="17.399999999999999" x14ac:dyDescent="0.25">
      <c r="A471" s="32" t="s">
        <v>4</v>
      </c>
      <c r="B471" s="33"/>
      <c r="C471" s="16">
        <v>1100</v>
      </c>
      <c r="D471" s="30" t="str">
        <f t="shared" si="7"/>
        <v/>
      </c>
      <c r="E471" s="13"/>
      <c r="F471" s="13"/>
      <c r="G471" s="16"/>
      <c r="H471" s="14"/>
    </row>
    <row r="472" spans="1:8" ht="17.399999999999999" x14ac:dyDescent="0.25">
      <c r="A472" s="34" t="s">
        <v>235</v>
      </c>
      <c r="B472" s="35"/>
      <c r="C472" s="9">
        <v>103.2</v>
      </c>
      <c r="D472" s="29">
        <f t="shared" si="7"/>
        <v>0.43</v>
      </c>
      <c r="E472" s="10"/>
      <c r="F472" s="10"/>
      <c r="G472" s="9"/>
      <c r="H472" s="11"/>
    </row>
    <row r="473" spans="1:8" ht="17.399999999999999" x14ac:dyDescent="0.25">
      <c r="A473" s="32" t="s">
        <v>4</v>
      </c>
      <c r="B473" s="33"/>
      <c r="C473" s="12">
        <v>240</v>
      </c>
      <c r="D473" s="30" t="str">
        <f t="shared" si="7"/>
        <v/>
      </c>
      <c r="E473" s="13"/>
      <c r="F473" s="13"/>
      <c r="G473" s="12"/>
      <c r="H473" s="14"/>
    </row>
    <row r="474" spans="1:8" ht="17.399999999999999" x14ac:dyDescent="0.25">
      <c r="A474" s="34" t="s">
        <v>236</v>
      </c>
      <c r="B474" s="35"/>
      <c r="C474" s="9">
        <v>994.59</v>
      </c>
      <c r="D474" s="29">
        <f t="shared" si="7"/>
        <v>10.469368421052632</v>
      </c>
      <c r="E474" s="10"/>
      <c r="F474" s="10"/>
      <c r="G474" s="9"/>
      <c r="H474" s="11"/>
    </row>
    <row r="475" spans="1:8" ht="17.399999999999999" x14ac:dyDescent="0.25">
      <c r="A475" s="32" t="s">
        <v>4</v>
      </c>
      <c r="B475" s="33"/>
      <c r="C475" s="12">
        <v>95</v>
      </c>
      <c r="D475" s="30" t="str">
        <f t="shared" si="7"/>
        <v/>
      </c>
      <c r="E475" s="13"/>
      <c r="F475" s="13"/>
      <c r="G475" s="12"/>
      <c r="H475" s="14"/>
    </row>
    <row r="476" spans="1:8" ht="17.399999999999999" x14ac:dyDescent="0.25">
      <c r="A476" s="34" t="s">
        <v>237</v>
      </c>
      <c r="B476" s="35"/>
      <c r="C476" s="15">
        <v>4785.07</v>
      </c>
      <c r="D476" s="29">
        <f t="shared" si="7"/>
        <v>48.334040404040401</v>
      </c>
      <c r="E476" s="10"/>
      <c r="F476" s="10"/>
      <c r="G476" s="15"/>
      <c r="H476" s="11"/>
    </row>
    <row r="477" spans="1:8" ht="17.399999999999999" x14ac:dyDescent="0.25">
      <c r="A477" s="32" t="s">
        <v>4</v>
      </c>
      <c r="B477" s="33"/>
      <c r="C477" s="12">
        <v>99</v>
      </c>
      <c r="D477" s="30" t="str">
        <f t="shared" si="7"/>
        <v/>
      </c>
      <c r="E477" s="13"/>
      <c r="F477" s="13"/>
      <c r="G477" s="12"/>
      <c r="H477" s="14"/>
    </row>
    <row r="478" spans="1:8" ht="17.399999999999999" x14ac:dyDescent="0.25">
      <c r="A478" s="34" t="s">
        <v>238</v>
      </c>
      <c r="B478" s="35"/>
      <c r="C478" s="15">
        <v>1069.2</v>
      </c>
      <c r="D478" s="29">
        <f t="shared" si="7"/>
        <v>5.3460000000000001</v>
      </c>
      <c r="E478" s="10"/>
      <c r="F478" s="10"/>
      <c r="G478" s="15"/>
      <c r="H478" s="11"/>
    </row>
    <row r="479" spans="1:8" ht="17.399999999999999" x14ac:dyDescent="0.25">
      <c r="A479" s="32" t="s">
        <v>4</v>
      </c>
      <c r="B479" s="33"/>
      <c r="C479" s="12">
        <v>200</v>
      </c>
      <c r="D479" s="30" t="str">
        <f t="shared" si="7"/>
        <v/>
      </c>
      <c r="E479" s="13"/>
      <c r="F479" s="13"/>
      <c r="G479" s="12"/>
      <c r="H479" s="14"/>
    </row>
    <row r="480" spans="1:8" ht="17.399999999999999" x14ac:dyDescent="0.25">
      <c r="A480" s="34" t="s">
        <v>239</v>
      </c>
      <c r="B480" s="35"/>
      <c r="C480" s="9">
        <v>243.16</v>
      </c>
      <c r="D480" s="29">
        <f t="shared" si="7"/>
        <v>2.0263333333333331</v>
      </c>
      <c r="E480" s="10"/>
      <c r="F480" s="10"/>
      <c r="G480" s="9"/>
      <c r="H480" s="11"/>
    </row>
    <row r="481" spans="1:8" ht="17.399999999999999" x14ac:dyDescent="0.25">
      <c r="A481" s="32" t="s">
        <v>4</v>
      </c>
      <c r="B481" s="33"/>
      <c r="C481" s="12">
        <v>120</v>
      </c>
      <c r="D481" s="30" t="str">
        <f t="shared" si="7"/>
        <v/>
      </c>
      <c r="E481" s="13"/>
      <c r="F481" s="13"/>
      <c r="G481" s="12"/>
      <c r="H481" s="14"/>
    </row>
    <row r="482" spans="1:8" ht="17.399999999999999" x14ac:dyDescent="0.25">
      <c r="A482" s="34" t="s">
        <v>240</v>
      </c>
      <c r="B482" s="35"/>
      <c r="C482" s="15">
        <v>945000</v>
      </c>
      <c r="D482" s="29">
        <f t="shared" si="7"/>
        <v>10500</v>
      </c>
      <c r="E482" s="10"/>
      <c r="F482" s="10"/>
      <c r="G482" s="15"/>
      <c r="H482" s="11"/>
    </row>
    <row r="483" spans="1:8" ht="17.399999999999999" x14ac:dyDescent="0.25">
      <c r="A483" s="32" t="s">
        <v>4</v>
      </c>
      <c r="B483" s="33"/>
      <c r="C483" s="12">
        <v>90</v>
      </c>
      <c r="D483" s="30" t="str">
        <f t="shared" si="7"/>
        <v/>
      </c>
      <c r="E483" s="13"/>
      <c r="F483" s="13"/>
      <c r="G483" s="12"/>
      <c r="H483" s="14"/>
    </row>
    <row r="484" spans="1:8" ht="17.399999999999999" x14ac:dyDescent="0.25">
      <c r="A484" s="34" t="s">
        <v>241</v>
      </c>
      <c r="B484" s="35"/>
      <c r="C484" s="15">
        <v>937800</v>
      </c>
      <c r="D484" s="29">
        <f t="shared" si="7"/>
        <v>10420</v>
      </c>
      <c r="E484" s="10"/>
      <c r="F484" s="10"/>
      <c r="G484" s="15"/>
      <c r="H484" s="11"/>
    </row>
    <row r="485" spans="1:8" ht="17.399999999999999" x14ac:dyDescent="0.25">
      <c r="A485" s="32" t="s">
        <v>4</v>
      </c>
      <c r="B485" s="33"/>
      <c r="C485" s="12">
        <v>90</v>
      </c>
      <c r="D485" s="30" t="str">
        <f t="shared" si="7"/>
        <v/>
      </c>
      <c r="E485" s="13"/>
      <c r="F485" s="13"/>
      <c r="G485" s="12"/>
      <c r="H485" s="14"/>
    </row>
    <row r="486" spans="1:8" ht="17.399999999999999" x14ac:dyDescent="0.25">
      <c r="A486" s="34" t="s">
        <v>242</v>
      </c>
      <c r="B486" s="35"/>
      <c r="C486" s="15">
        <v>4650</v>
      </c>
      <c r="D486" s="29">
        <f t="shared" si="7"/>
        <v>1550</v>
      </c>
      <c r="E486" s="10"/>
      <c r="F486" s="10"/>
      <c r="G486" s="15"/>
      <c r="H486" s="11"/>
    </row>
    <row r="487" spans="1:8" ht="17.399999999999999" x14ac:dyDescent="0.25">
      <c r="A487" s="32" t="s">
        <v>4</v>
      </c>
      <c r="B487" s="33"/>
      <c r="C487" s="12">
        <v>3</v>
      </c>
      <c r="D487" s="30" t="str">
        <f t="shared" si="7"/>
        <v/>
      </c>
      <c r="E487" s="13"/>
      <c r="F487" s="13"/>
      <c r="G487" s="12"/>
      <c r="H487" s="14"/>
    </row>
    <row r="488" spans="1:8" ht="17.399999999999999" x14ac:dyDescent="0.25">
      <c r="A488" s="34" t="s">
        <v>243</v>
      </c>
      <c r="B488" s="35"/>
      <c r="C488" s="9">
        <v>467.1</v>
      </c>
      <c r="D488" s="29">
        <f t="shared" si="7"/>
        <v>9.3420000000000005</v>
      </c>
      <c r="E488" s="10"/>
      <c r="F488" s="10"/>
      <c r="G488" s="9"/>
      <c r="H488" s="11"/>
    </row>
    <row r="489" spans="1:8" ht="17.399999999999999" x14ac:dyDescent="0.25">
      <c r="A489" s="32" t="s">
        <v>4</v>
      </c>
      <c r="B489" s="33"/>
      <c r="C489" s="12">
        <v>50</v>
      </c>
      <c r="D489" s="30" t="str">
        <f t="shared" si="7"/>
        <v/>
      </c>
      <c r="E489" s="13"/>
      <c r="F489" s="13"/>
      <c r="G489" s="12"/>
      <c r="H489" s="14"/>
    </row>
    <row r="490" spans="1:8" ht="17.399999999999999" x14ac:dyDescent="0.25">
      <c r="A490" s="34" t="s">
        <v>244</v>
      </c>
      <c r="B490" s="35"/>
      <c r="C490" s="9">
        <v>806.4</v>
      </c>
      <c r="D490" s="29">
        <f t="shared" si="7"/>
        <v>1.3439999999999999</v>
      </c>
      <c r="E490" s="10"/>
      <c r="F490" s="10"/>
      <c r="G490" s="9"/>
      <c r="H490" s="11"/>
    </row>
    <row r="491" spans="1:8" ht="17.399999999999999" x14ac:dyDescent="0.25">
      <c r="A491" s="32" t="s">
        <v>4</v>
      </c>
      <c r="B491" s="33"/>
      <c r="C491" s="12">
        <v>600</v>
      </c>
      <c r="D491" s="30" t="str">
        <f t="shared" si="7"/>
        <v/>
      </c>
      <c r="E491" s="13"/>
      <c r="F491" s="13"/>
      <c r="G491" s="12"/>
      <c r="H491" s="14"/>
    </row>
    <row r="492" spans="1:8" ht="17.399999999999999" x14ac:dyDescent="0.25">
      <c r="A492" s="34" t="s">
        <v>245</v>
      </c>
      <c r="B492" s="35"/>
      <c r="C492" s="9">
        <v>74.45</v>
      </c>
      <c r="D492" s="29">
        <f t="shared" si="7"/>
        <v>2.4816666666666669</v>
      </c>
      <c r="E492" s="10"/>
      <c r="F492" s="10"/>
      <c r="G492" s="9"/>
      <c r="H492" s="11"/>
    </row>
    <row r="493" spans="1:8" ht="17.399999999999999" x14ac:dyDescent="0.25">
      <c r="A493" s="32" t="s">
        <v>4</v>
      </c>
      <c r="B493" s="33"/>
      <c r="C493" s="12">
        <v>30</v>
      </c>
      <c r="D493" s="30" t="str">
        <f t="shared" si="7"/>
        <v/>
      </c>
      <c r="E493" s="13"/>
      <c r="F493" s="13"/>
      <c r="G493" s="12"/>
      <c r="H493" s="14"/>
    </row>
    <row r="494" spans="1:8" ht="17.399999999999999" x14ac:dyDescent="0.25">
      <c r="A494" s="34" t="s">
        <v>246</v>
      </c>
      <c r="B494" s="35"/>
      <c r="C494" s="15">
        <v>1400.25</v>
      </c>
      <c r="D494" s="29">
        <f t="shared" si="7"/>
        <v>1400.25</v>
      </c>
      <c r="E494" s="10"/>
      <c r="F494" s="10"/>
      <c r="G494" s="15"/>
      <c r="H494" s="11"/>
    </row>
    <row r="495" spans="1:8" ht="17.399999999999999" x14ac:dyDescent="0.25">
      <c r="A495" s="32" t="s">
        <v>4</v>
      </c>
      <c r="B495" s="33"/>
      <c r="C495" s="12">
        <v>1</v>
      </c>
      <c r="D495" s="30" t="str">
        <f t="shared" si="7"/>
        <v/>
      </c>
      <c r="E495" s="13"/>
      <c r="F495" s="13"/>
      <c r="G495" s="12"/>
      <c r="H495" s="14"/>
    </row>
    <row r="496" spans="1:8" ht="17.399999999999999" x14ac:dyDescent="0.25">
      <c r="A496" s="34" t="s">
        <v>247</v>
      </c>
      <c r="B496" s="35"/>
      <c r="C496" s="15">
        <v>2217.73</v>
      </c>
      <c r="D496" s="29">
        <f t="shared" si="7"/>
        <v>1.5728581560283688</v>
      </c>
      <c r="E496" s="10"/>
      <c r="F496" s="10"/>
      <c r="G496" s="15"/>
      <c r="H496" s="11"/>
    </row>
    <row r="497" spans="1:8" ht="17.399999999999999" x14ac:dyDescent="0.25">
      <c r="A497" s="32" t="s">
        <v>4</v>
      </c>
      <c r="B497" s="33"/>
      <c r="C497" s="16">
        <v>1410</v>
      </c>
      <c r="D497" s="30" t="str">
        <f t="shared" si="7"/>
        <v/>
      </c>
      <c r="E497" s="13"/>
      <c r="F497" s="13"/>
      <c r="G497" s="16"/>
      <c r="H497" s="14"/>
    </row>
    <row r="498" spans="1:8" ht="17.399999999999999" x14ac:dyDescent="0.25">
      <c r="A498" s="34" t="s">
        <v>248</v>
      </c>
      <c r="B498" s="35"/>
      <c r="C498" s="15">
        <v>4048.92</v>
      </c>
      <c r="D498" s="29">
        <f t="shared" si="7"/>
        <v>44.988</v>
      </c>
      <c r="E498" s="10"/>
      <c r="F498" s="10"/>
      <c r="G498" s="15"/>
      <c r="H498" s="11"/>
    </row>
    <row r="499" spans="1:8" ht="17.399999999999999" x14ac:dyDescent="0.25">
      <c r="A499" s="32" t="s">
        <v>4</v>
      </c>
      <c r="B499" s="33"/>
      <c r="C499" s="12">
        <v>90</v>
      </c>
      <c r="D499" s="30" t="str">
        <f t="shared" si="7"/>
        <v/>
      </c>
      <c r="E499" s="13"/>
      <c r="F499" s="13"/>
      <c r="G499" s="12"/>
      <c r="H499" s="14"/>
    </row>
    <row r="500" spans="1:8" ht="17.399999999999999" x14ac:dyDescent="0.25">
      <c r="A500" s="34" t="s">
        <v>249</v>
      </c>
      <c r="B500" s="35"/>
      <c r="C500" s="15">
        <v>210160</v>
      </c>
      <c r="D500" s="29">
        <f t="shared" si="7"/>
        <v>8083.0769230769229</v>
      </c>
      <c r="E500" s="10"/>
      <c r="F500" s="10"/>
      <c r="G500" s="15"/>
      <c r="H500" s="11"/>
    </row>
    <row r="501" spans="1:8" ht="17.399999999999999" x14ac:dyDescent="0.25">
      <c r="A501" s="32" t="s">
        <v>4</v>
      </c>
      <c r="B501" s="33"/>
      <c r="C501" s="12">
        <v>26</v>
      </c>
      <c r="D501" s="30" t="str">
        <f t="shared" si="7"/>
        <v/>
      </c>
      <c r="E501" s="13"/>
      <c r="F501" s="13"/>
      <c r="G501" s="12"/>
      <c r="H501" s="14"/>
    </row>
    <row r="502" spans="1:8" ht="17.399999999999999" x14ac:dyDescent="0.25">
      <c r="A502" s="34" t="s">
        <v>250</v>
      </c>
      <c r="B502" s="35"/>
      <c r="C502" s="9">
        <v>107.89</v>
      </c>
      <c r="D502" s="29">
        <f t="shared" si="7"/>
        <v>10.789</v>
      </c>
      <c r="E502" s="10"/>
      <c r="F502" s="10"/>
      <c r="G502" s="9"/>
      <c r="H502" s="11"/>
    </row>
    <row r="503" spans="1:8" ht="17.399999999999999" x14ac:dyDescent="0.25">
      <c r="A503" s="32" t="s">
        <v>4</v>
      </c>
      <c r="B503" s="33"/>
      <c r="C503" s="12">
        <v>10</v>
      </c>
      <c r="D503" s="30" t="str">
        <f t="shared" si="7"/>
        <v/>
      </c>
      <c r="E503" s="13"/>
      <c r="F503" s="13"/>
      <c r="G503" s="12"/>
      <c r="H503" s="14"/>
    </row>
    <row r="504" spans="1:8" ht="17.399999999999999" x14ac:dyDescent="0.25">
      <c r="A504" s="34" t="s">
        <v>251</v>
      </c>
      <c r="B504" s="35"/>
      <c r="C504" s="15">
        <v>1269.3699999999999</v>
      </c>
      <c r="D504" s="29">
        <f t="shared" si="7"/>
        <v>1.2693699999999999</v>
      </c>
      <c r="E504" s="10"/>
      <c r="F504" s="10"/>
      <c r="G504" s="15"/>
      <c r="H504" s="11"/>
    </row>
    <row r="505" spans="1:8" ht="17.399999999999999" x14ac:dyDescent="0.25">
      <c r="A505" s="32" t="s">
        <v>4</v>
      </c>
      <c r="B505" s="33"/>
      <c r="C505" s="16">
        <v>1000</v>
      </c>
      <c r="D505" s="30" t="str">
        <f t="shared" si="7"/>
        <v/>
      </c>
      <c r="E505" s="13"/>
      <c r="F505" s="13"/>
      <c r="G505" s="16"/>
      <c r="H505" s="14"/>
    </row>
    <row r="506" spans="1:8" ht="17.399999999999999" x14ac:dyDescent="0.25">
      <c r="A506" s="34" t="s">
        <v>252</v>
      </c>
      <c r="B506" s="35"/>
      <c r="C506" s="15">
        <v>2999.16</v>
      </c>
      <c r="D506" s="29">
        <f t="shared" si="7"/>
        <v>29.991599999999998</v>
      </c>
      <c r="E506" s="10"/>
      <c r="F506" s="10"/>
      <c r="G506" s="15"/>
      <c r="H506" s="11"/>
    </row>
    <row r="507" spans="1:8" ht="17.399999999999999" x14ac:dyDescent="0.25">
      <c r="A507" s="32" t="s">
        <v>4</v>
      </c>
      <c r="B507" s="33"/>
      <c r="C507" s="12">
        <v>100</v>
      </c>
      <c r="D507" s="30" t="str">
        <f t="shared" si="7"/>
        <v/>
      </c>
      <c r="E507" s="13"/>
      <c r="F507" s="13"/>
      <c r="G507" s="12"/>
      <c r="H507" s="14"/>
    </row>
    <row r="508" spans="1:8" ht="17.399999999999999" x14ac:dyDescent="0.25">
      <c r="A508" s="34" t="s">
        <v>253</v>
      </c>
      <c r="B508" s="35"/>
      <c r="C508" s="9">
        <v>675.96</v>
      </c>
      <c r="D508" s="29">
        <f t="shared" si="7"/>
        <v>5.633</v>
      </c>
      <c r="E508" s="10"/>
      <c r="F508" s="10"/>
      <c r="G508" s="9"/>
      <c r="H508" s="11"/>
    </row>
    <row r="509" spans="1:8" ht="17.399999999999999" x14ac:dyDescent="0.25">
      <c r="A509" s="32" t="s">
        <v>4</v>
      </c>
      <c r="B509" s="33"/>
      <c r="C509" s="12">
        <v>120</v>
      </c>
      <c r="D509" s="30" t="str">
        <f t="shared" si="7"/>
        <v/>
      </c>
      <c r="E509" s="13"/>
      <c r="F509" s="13"/>
      <c r="G509" s="12"/>
      <c r="H509" s="14"/>
    </row>
    <row r="510" spans="1:8" ht="17.399999999999999" x14ac:dyDescent="0.25">
      <c r="A510" s="34" t="s">
        <v>254</v>
      </c>
      <c r="B510" s="35"/>
      <c r="C510" s="15">
        <v>20822.259999999998</v>
      </c>
      <c r="D510" s="29">
        <f t="shared" si="7"/>
        <v>1.5980245587106676</v>
      </c>
      <c r="E510" s="10"/>
      <c r="F510" s="10"/>
      <c r="G510" s="15"/>
      <c r="H510" s="11"/>
    </row>
    <row r="511" spans="1:8" ht="17.399999999999999" x14ac:dyDescent="0.25">
      <c r="A511" s="32" t="s">
        <v>4</v>
      </c>
      <c r="B511" s="33"/>
      <c r="C511" s="16">
        <v>13030</v>
      </c>
      <c r="D511" s="30" t="str">
        <f t="shared" si="7"/>
        <v/>
      </c>
      <c r="E511" s="13"/>
      <c r="F511" s="13"/>
      <c r="G511" s="16"/>
      <c r="H511" s="14"/>
    </row>
    <row r="512" spans="1:8" ht="17.399999999999999" x14ac:dyDescent="0.25">
      <c r="A512" s="34" t="s">
        <v>255</v>
      </c>
      <c r="B512" s="35"/>
      <c r="C512" s="9">
        <v>583.54</v>
      </c>
      <c r="D512" s="29">
        <f t="shared" si="7"/>
        <v>13.893809523809523</v>
      </c>
      <c r="E512" s="10"/>
      <c r="F512" s="10"/>
      <c r="G512" s="9"/>
      <c r="H512" s="11"/>
    </row>
    <row r="513" spans="1:8" ht="17.399999999999999" x14ac:dyDescent="0.25">
      <c r="A513" s="32" t="s">
        <v>4</v>
      </c>
      <c r="B513" s="33"/>
      <c r="C513" s="12">
        <v>42</v>
      </c>
      <c r="D513" s="30" t="str">
        <f t="shared" si="7"/>
        <v/>
      </c>
      <c r="E513" s="13"/>
      <c r="F513" s="13"/>
      <c r="G513" s="12"/>
      <c r="H513" s="14"/>
    </row>
    <row r="514" spans="1:8" ht="17.399999999999999" x14ac:dyDescent="0.25">
      <c r="A514" s="34" t="s">
        <v>256</v>
      </c>
      <c r="B514" s="35"/>
      <c r="C514" s="15">
        <v>3824.84</v>
      </c>
      <c r="D514" s="29">
        <f t="shared" si="7"/>
        <v>18.657756097560977</v>
      </c>
      <c r="E514" s="10"/>
      <c r="F514" s="10"/>
      <c r="G514" s="15"/>
      <c r="H514" s="11"/>
    </row>
    <row r="515" spans="1:8" ht="17.399999999999999" x14ac:dyDescent="0.25">
      <c r="A515" s="32" t="s">
        <v>4</v>
      </c>
      <c r="B515" s="33"/>
      <c r="C515" s="12">
        <v>205</v>
      </c>
      <c r="D515" s="30" t="str">
        <f t="shared" si="7"/>
        <v/>
      </c>
      <c r="E515" s="13"/>
      <c r="F515" s="13"/>
      <c r="G515" s="12"/>
      <c r="H515" s="14"/>
    </row>
    <row r="516" spans="1:8" ht="17.399999999999999" x14ac:dyDescent="0.25">
      <c r="A516" s="34" t="s">
        <v>257</v>
      </c>
      <c r="B516" s="35"/>
      <c r="C516" s="15">
        <v>1822.93</v>
      </c>
      <c r="D516" s="29">
        <f t="shared" si="7"/>
        <v>24.305733333333333</v>
      </c>
      <c r="E516" s="10"/>
      <c r="F516" s="10"/>
      <c r="G516" s="15"/>
      <c r="H516" s="11"/>
    </row>
    <row r="517" spans="1:8" ht="17.399999999999999" x14ac:dyDescent="0.25">
      <c r="A517" s="32" t="s">
        <v>4</v>
      </c>
      <c r="B517" s="33"/>
      <c r="C517" s="12">
        <v>75</v>
      </c>
      <c r="D517" s="30" t="str">
        <f t="shared" si="7"/>
        <v/>
      </c>
      <c r="E517" s="13"/>
      <c r="F517" s="13"/>
      <c r="G517" s="12"/>
      <c r="H517" s="14"/>
    </row>
    <row r="518" spans="1:8" ht="17.399999999999999" x14ac:dyDescent="0.25">
      <c r="A518" s="34" t="s">
        <v>258</v>
      </c>
      <c r="B518" s="35"/>
      <c r="C518" s="15">
        <v>1927.31</v>
      </c>
      <c r="D518" s="29">
        <f t="shared" si="7"/>
        <v>21.414555555555555</v>
      </c>
      <c r="E518" s="10"/>
      <c r="F518" s="10"/>
      <c r="G518" s="15"/>
      <c r="H518" s="11"/>
    </row>
    <row r="519" spans="1:8" ht="17.399999999999999" x14ac:dyDescent="0.25">
      <c r="A519" s="32" t="s">
        <v>4</v>
      </c>
      <c r="B519" s="33"/>
      <c r="C519" s="12">
        <v>90</v>
      </c>
      <c r="D519" s="30" t="str">
        <f t="shared" si="7"/>
        <v/>
      </c>
      <c r="E519" s="13"/>
      <c r="F519" s="13"/>
      <c r="G519" s="12"/>
      <c r="H519" s="14"/>
    </row>
    <row r="520" spans="1:8" ht="17.399999999999999" x14ac:dyDescent="0.25">
      <c r="A520" s="34" t="s">
        <v>259</v>
      </c>
      <c r="B520" s="35"/>
      <c r="C520" s="9">
        <v>421.35</v>
      </c>
      <c r="D520" s="29">
        <f t="shared" si="7"/>
        <v>0.27009615384615387</v>
      </c>
      <c r="E520" s="10"/>
      <c r="F520" s="10"/>
      <c r="G520" s="9"/>
      <c r="H520" s="11"/>
    </row>
    <row r="521" spans="1:8" ht="17.399999999999999" x14ac:dyDescent="0.25">
      <c r="A521" s="32" t="s">
        <v>4</v>
      </c>
      <c r="B521" s="33"/>
      <c r="C521" s="16">
        <v>1560</v>
      </c>
      <c r="D521" s="30" t="str">
        <f t="shared" si="7"/>
        <v/>
      </c>
      <c r="E521" s="13"/>
      <c r="F521" s="13"/>
      <c r="G521" s="16"/>
      <c r="H521" s="14"/>
    </row>
    <row r="522" spans="1:8" ht="17.399999999999999" x14ac:dyDescent="0.25">
      <c r="A522" s="34" t="s">
        <v>260</v>
      </c>
      <c r="B522" s="35"/>
      <c r="C522" s="9">
        <v>476.28</v>
      </c>
      <c r="D522" s="29">
        <f t="shared" ref="D522:D585" si="8">IF($A523="Кол-во",IFERROR($C522/$C523,""),"")</f>
        <v>0.6804</v>
      </c>
      <c r="E522" s="10"/>
      <c r="F522" s="10"/>
      <c r="G522" s="9"/>
      <c r="H522" s="11"/>
    </row>
    <row r="523" spans="1:8" ht="17.399999999999999" x14ac:dyDescent="0.25">
      <c r="A523" s="32" t="s">
        <v>4</v>
      </c>
      <c r="B523" s="33"/>
      <c r="C523" s="12">
        <v>700</v>
      </c>
      <c r="D523" s="30" t="str">
        <f t="shared" si="8"/>
        <v/>
      </c>
      <c r="E523" s="13"/>
      <c r="F523" s="13"/>
      <c r="G523" s="12"/>
      <c r="H523" s="14"/>
    </row>
    <row r="524" spans="1:8" ht="17.399999999999999" x14ac:dyDescent="0.25">
      <c r="A524" s="34" t="s">
        <v>261</v>
      </c>
      <c r="B524" s="35"/>
      <c r="C524" s="15">
        <v>4580.0600000000004</v>
      </c>
      <c r="D524" s="29">
        <f t="shared" si="8"/>
        <v>0.97241188959660307</v>
      </c>
      <c r="E524" s="10"/>
      <c r="F524" s="10"/>
      <c r="G524" s="15"/>
      <c r="H524" s="11"/>
    </row>
    <row r="525" spans="1:8" ht="17.399999999999999" x14ac:dyDescent="0.25">
      <c r="A525" s="32" t="s">
        <v>4</v>
      </c>
      <c r="B525" s="33"/>
      <c r="C525" s="16">
        <v>4710</v>
      </c>
      <c r="D525" s="30" t="str">
        <f t="shared" si="8"/>
        <v/>
      </c>
      <c r="E525" s="13"/>
      <c r="F525" s="13"/>
      <c r="G525" s="16"/>
      <c r="H525" s="14"/>
    </row>
    <row r="526" spans="1:8" ht="17.399999999999999" x14ac:dyDescent="0.25">
      <c r="A526" s="34" t="s">
        <v>262</v>
      </c>
      <c r="B526" s="35"/>
      <c r="C526" s="15">
        <v>3090.56</v>
      </c>
      <c r="D526" s="29">
        <f t="shared" si="8"/>
        <v>3.8632</v>
      </c>
      <c r="E526" s="10"/>
      <c r="F526" s="10"/>
      <c r="G526" s="15"/>
      <c r="H526" s="11"/>
    </row>
    <row r="527" spans="1:8" ht="17.399999999999999" x14ac:dyDescent="0.25">
      <c r="A527" s="32" t="s">
        <v>4</v>
      </c>
      <c r="B527" s="33"/>
      <c r="C527" s="12">
        <v>800</v>
      </c>
      <c r="D527" s="30" t="str">
        <f t="shared" si="8"/>
        <v/>
      </c>
      <c r="E527" s="13"/>
      <c r="F527" s="13"/>
      <c r="G527" s="12"/>
      <c r="H527" s="14"/>
    </row>
    <row r="528" spans="1:8" ht="17.399999999999999" x14ac:dyDescent="0.25">
      <c r="A528" s="34" t="s">
        <v>263</v>
      </c>
      <c r="B528" s="35"/>
      <c r="C528" s="9">
        <v>615.97</v>
      </c>
      <c r="D528" s="29">
        <f t="shared" si="8"/>
        <v>0.18332440476190476</v>
      </c>
      <c r="E528" s="10"/>
      <c r="F528" s="10"/>
      <c r="G528" s="9"/>
      <c r="H528" s="11"/>
    </row>
    <row r="529" spans="1:8" ht="17.399999999999999" x14ac:dyDescent="0.25">
      <c r="A529" s="32" t="s">
        <v>4</v>
      </c>
      <c r="B529" s="33"/>
      <c r="C529" s="16">
        <v>3360</v>
      </c>
      <c r="D529" s="30" t="str">
        <f t="shared" si="8"/>
        <v/>
      </c>
      <c r="E529" s="13"/>
      <c r="F529" s="13"/>
      <c r="G529" s="16"/>
      <c r="H529" s="14"/>
    </row>
    <row r="530" spans="1:8" ht="17.399999999999999" x14ac:dyDescent="0.25">
      <c r="A530" s="34" t="s">
        <v>264</v>
      </c>
      <c r="B530" s="35"/>
      <c r="C530" s="15">
        <v>1712.15</v>
      </c>
      <c r="D530" s="29">
        <f t="shared" si="8"/>
        <v>2.2617569352708058</v>
      </c>
      <c r="E530" s="10"/>
      <c r="F530" s="10"/>
      <c r="G530" s="15"/>
      <c r="H530" s="11"/>
    </row>
    <row r="531" spans="1:8" ht="17.399999999999999" x14ac:dyDescent="0.25">
      <c r="A531" s="32" t="s">
        <v>4</v>
      </c>
      <c r="B531" s="33"/>
      <c r="C531" s="12">
        <v>757</v>
      </c>
      <c r="D531" s="30" t="str">
        <f t="shared" si="8"/>
        <v/>
      </c>
      <c r="E531" s="13"/>
      <c r="F531" s="13"/>
      <c r="G531" s="12"/>
      <c r="H531" s="14"/>
    </row>
    <row r="532" spans="1:8" ht="17.399999999999999" x14ac:dyDescent="0.25">
      <c r="A532" s="34" t="s">
        <v>265</v>
      </c>
      <c r="B532" s="35"/>
      <c r="C532" s="15">
        <v>2708.64</v>
      </c>
      <c r="D532" s="29">
        <f t="shared" si="8"/>
        <v>1.4801311475409835</v>
      </c>
      <c r="E532" s="10"/>
      <c r="F532" s="10"/>
      <c r="G532" s="15"/>
      <c r="H532" s="11"/>
    </row>
    <row r="533" spans="1:8" ht="17.399999999999999" x14ac:dyDescent="0.25">
      <c r="A533" s="32" t="s">
        <v>4</v>
      </c>
      <c r="B533" s="33"/>
      <c r="C533" s="16">
        <v>1830</v>
      </c>
      <c r="D533" s="30" t="str">
        <f t="shared" si="8"/>
        <v/>
      </c>
      <c r="E533" s="13"/>
      <c r="F533" s="13"/>
      <c r="G533" s="16"/>
      <c r="H533" s="14"/>
    </row>
    <row r="534" spans="1:8" ht="17.399999999999999" x14ac:dyDescent="0.25">
      <c r="A534" s="34" t="s">
        <v>266</v>
      </c>
      <c r="B534" s="35"/>
      <c r="C534" s="15">
        <v>6228.76</v>
      </c>
      <c r="D534" s="29">
        <f t="shared" si="8"/>
        <v>0.90798250728862973</v>
      </c>
      <c r="E534" s="10"/>
      <c r="F534" s="10"/>
      <c r="G534" s="15"/>
      <c r="H534" s="11"/>
    </row>
    <row r="535" spans="1:8" ht="17.399999999999999" x14ac:dyDescent="0.25">
      <c r="A535" s="32" t="s">
        <v>4</v>
      </c>
      <c r="B535" s="33"/>
      <c r="C535" s="16">
        <v>6860</v>
      </c>
      <c r="D535" s="30" t="str">
        <f t="shared" si="8"/>
        <v/>
      </c>
      <c r="E535" s="13"/>
      <c r="F535" s="13"/>
      <c r="G535" s="16"/>
      <c r="H535" s="14"/>
    </row>
    <row r="536" spans="1:8" ht="17.399999999999999" x14ac:dyDescent="0.25">
      <c r="A536" s="34" t="s">
        <v>267</v>
      </c>
      <c r="B536" s="35"/>
      <c r="C536" s="9">
        <v>436.31</v>
      </c>
      <c r="D536" s="29">
        <f t="shared" si="8"/>
        <v>0.35186290322580643</v>
      </c>
      <c r="E536" s="10"/>
      <c r="F536" s="10"/>
      <c r="G536" s="9"/>
      <c r="H536" s="11"/>
    </row>
    <row r="537" spans="1:8" ht="17.399999999999999" x14ac:dyDescent="0.25">
      <c r="A537" s="32" t="s">
        <v>4</v>
      </c>
      <c r="B537" s="33"/>
      <c r="C537" s="16">
        <v>1240</v>
      </c>
      <c r="D537" s="30" t="str">
        <f t="shared" si="8"/>
        <v/>
      </c>
      <c r="E537" s="13"/>
      <c r="F537" s="13"/>
      <c r="G537" s="16"/>
      <c r="H537" s="14"/>
    </row>
    <row r="538" spans="1:8" ht="17.399999999999999" x14ac:dyDescent="0.25">
      <c r="A538" s="34" t="s">
        <v>268</v>
      </c>
      <c r="B538" s="35"/>
      <c r="C538" s="15">
        <v>3525.12</v>
      </c>
      <c r="D538" s="29">
        <f t="shared" si="8"/>
        <v>11.750399999999999</v>
      </c>
      <c r="E538" s="10"/>
      <c r="F538" s="10"/>
      <c r="G538" s="15"/>
      <c r="H538" s="11"/>
    </row>
    <row r="539" spans="1:8" ht="17.399999999999999" x14ac:dyDescent="0.25">
      <c r="A539" s="32" t="s">
        <v>4</v>
      </c>
      <c r="B539" s="33"/>
      <c r="C539" s="12">
        <v>300</v>
      </c>
      <c r="D539" s="30" t="str">
        <f t="shared" si="8"/>
        <v/>
      </c>
      <c r="E539" s="13"/>
      <c r="F539" s="13"/>
      <c r="G539" s="12"/>
      <c r="H539" s="14"/>
    </row>
    <row r="540" spans="1:8" ht="17.399999999999999" x14ac:dyDescent="0.25">
      <c r="A540" s="34" t="s">
        <v>269</v>
      </c>
      <c r="B540" s="35"/>
      <c r="C540" s="15">
        <v>4628.62</v>
      </c>
      <c r="D540" s="29">
        <f t="shared" si="8"/>
        <v>41.326964285714283</v>
      </c>
      <c r="E540" s="10"/>
      <c r="F540" s="10"/>
      <c r="G540" s="15"/>
      <c r="H540" s="11"/>
    </row>
    <row r="541" spans="1:8" ht="17.399999999999999" x14ac:dyDescent="0.25">
      <c r="A541" s="32" t="s">
        <v>4</v>
      </c>
      <c r="B541" s="33"/>
      <c r="C541" s="12">
        <v>112</v>
      </c>
      <c r="D541" s="30" t="str">
        <f t="shared" si="8"/>
        <v/>
      </c>
      <c r="E541" s="13"/>
      <c r="F541" s="13"/>
      <c r="G541" s="12"/>
      <c r="H541" s="14"/>
    </row>
    <row r="542" spans="1:8" ht="17.399999999999999" x14ac:dyDescent="0.25">
      <c r="A542" s="34" t="s">
        <v>270</v>
      </c>
      <c r="B542" s="35"/>
      <c r="C542" s="9">
        <v>998.7</v>
      </c>
      <c r="D542" s="29">
        <f t="shared" si="8"/>
        <v>4.9935</v>
      </c>
      <c r="E542" s="10"/>
      <c r="F542" s="10"/>
      <c r="G542" s="9"/>
      <c r="H542" s="11"/>
    </row>
    <row r="543" spans="1:8" ht="17.399999999999999" x14ac:dyDescent="0.25">
      <c r="A543" s="32" t="s">
        <v>4</v>
      </c>
      <c r="B543" s="33"/>
      <c r="C543" s="12">
        <v>200</v>
      </c>
      <c r="D543" s="30" t="str">
        <f t="shared" si="8"/>
        <v/>
      </c>
      <c r="E543" s="13"/>
      <c r="F543" s="13"/>
      <c r="G543" s="12"/>
      <c r="H543" s="14"/>
    </row>
    <row r="544" spans="1:8" ht="17.399999999999999" x14ac:dyDescent="0.25">
      <c r="A544" s="34" t="s">
        <v>271</v>
      </c>
      <c r="B544" s="35"/>
      <c r="C544" s="9">
        <v>979.42</v>
      </c>
      <c r="D544" s="29">
        <f t="shared" si="8"/>
        <v>16.323666666666664</v>
      </c>
      <c r="E544" s="10"/>
      <c r="F544" s="10"/>
      <c r="G544" s="9"/>
      <c r="H544" s="11"/>
    </row>
    <row r="545" spans="1:8" ht="17.399999999999999" x14ac:dyDescent="0.25">
      <c r="A545" s="32" t="s">
        <v>4</v>
      </c>
      <c r="B545" s="33"/>
      <c r="C545" s="12">
        <v>60</v>
      </c>
      <c r="D545" s="30" t="str">
        <f t="shared" si="8"/>
        <v/>
      </c>
      <c r="E545" s="13"/>
      <c r="F545" s="13"/>
      <c r="G545" s="12"/>
      <c r="H545" s="14"/>
    </row>
    <row r="546" spans="1:8" ht="17.399999999999999" x14ac:dyDescent="0.25">
      <c r="A546" s="34" t="s">
        <v>272</v>
      </c>
      <c r="B546" s="35"/>
      <c r="C546" s="15">
        <v>11966.58</v>
      </c>
      <c r="D546" s="29">
        <f t="shared" si="8"/>
        <v>2.0213817567567567</v>
      </c>
      <c r="E546" s="10"/>
      <c r="F546" s="10"/>
      <c r="G546" s="15"/>
      <c r="H546" s="11"/>
    </row>
    <row r="547" spans="1:8" ht="17.399999999999999" x14ac:dyDescent="0.25">
      <c r="A547" s="32" t="s">
        <v>4</v>
      </c>
      <c r="B547" s="33"/>
      <c r="C547" s="16">
        <v>5920</v>
      </c>
      <c r="D547" s="30" t="str">
        <f t="shared" si="8"/>
        <v/>
      </c>
      <c r="E547" s="13"/>
      <c r="F547" s="13"/>
      <c r="G547" s="16"/>
      <c r="H547" s="14"/>
    </row>
    <row r="548" spans="1:8" ht="17.399999999999999" x14ac:dyDescent="0.25">
      <c r="A548" s="34" t="s">
        <v>273</v>
      </c>
      <c r="B548" s="35"/>
      <c r="C548" s="9">
        <v>275.95999999999998</v>
      </c>
      <c r="D548" s="29">
        <f t="shared" si="8"/>
        <v>1.7247499999999998</v>
      </c>
      <c r="E548" s="10"/>
      <c r="F548" s="10"/>
      <c r="G548" s="9"/>
      <c r="H548" s="11"/>
    </row>
    <row r="549" spans="1:8" ht="17.399999999999999" x14ac:dyDescent="0.25">
      <c r="A549" s="32" t="s">
        <v>4</v>
      </c>
      <c r="B549" s="33"/>
      <c r="C549" s="12">
        <v>160</v>
      </c>
      <c r="D549" s="30" t="str">
        <f t="shared" si="8"/>
        <v/>
      </c>
      <c r="E549" s="13"/>
      <c r="F549" s="13"/>
      <c r="G549" s="12"/>
      <c r="H549" s="14"/>
    </row>
    <row r="550" spans="1:8" ht="17.399999999999999" x14ac:dyDescent="0.25">
      <c r="A550" s="34" t="s">
        <v>274</v>
      </c>
      <c r="B550" s="35"/>
      <c r="C550" s="15">
        <v>4868.6899999999996</v>
      </c>
      <c r="D550" s="29">
        <f t="shared" si="8"/>
        <v>51.794574468085102</v>
      </c>
      <c r="E550" s="10"/>
      <c r="F550" s="10"/>
      <c r="G550" s="15"/>
      <c r="H550" s="11"/>
    </row>
    <row r="551" spans="1:8" ht="17.399999999999999" x14ac:dyDescent="0.25">
      <c r="A551" s="32" t="s">
        <v>4</v>
      </c>
      <c r="B551" s="33"/>
      <c r="C551" s="12">
        <v>94</v>
      </c>
      <c r="D551" s="30" t="str">
        <f t="shared" si="8"/>
        <v/>
      </c>
      <c r="E551" s="13"/>
      <c r="F551" s="13"/>
      <c r="G551" s="12"/>
      <c r="H551" s="14"/>
    </row>
    <row r="552" spans="1:8" ht="17.399999999999999" x14ac:dyDescent="0.25">
      <c r="A552" s="34" t="s">
        <v>275</v>
      </c>
      <c r="B552" s="35"/>
      <c r="C552" s="15">
        <v>1179.43</v>
      </c>
      <c r="D552" s="29">
        <f t="shared" si="8"/>
        <v>0.36402160493827163</v>
      </c>
      <c r="E552" s="10"/>
      <c r="F552" s="10"/>
      <c r="G552" s="15"/>
      <c r="H552" s="11"/>
    </row>
    <row r="553" spans="1:8" ht="17.399999999999999" x14ac:dyDescent="0.25">
      <c r="A553" s="32" t="s">
        <v>4</v>
      </c>
      <c r="B553" s="33"/>
      <c r="C553" s="16">
        <v>3240</v>
      </c>
      <c r="D553" s="30" t="str">
        <f t="shared" si="8"/>
        <v/>
      </c>
      <c r="E553" s="13"/>
      <c r="F553" s="13"/>
      <c r="G553" s="16"/>
      <c r="H553" s="14"/>
    </row>
    <row r="554" spans="1:8" ht="17.399999999999999" x14ac:dyDescent="0.25">
      <c r="A554" s="34" t="s">
        <v>276</v>
      </c>
      <c r="B554" s="35"/>
      <c r="C554" s="9">
        <v>192.24</v>
      </c>
      <c r="D554" s="29">
        <f t="shared" si="8"/>
        <v>0.53400000000000003</v>
      </c>
      <c r="E554" s="10"/>
      <c r="F554" s="10"/>
      <c r="G554" s="9"/>
      <c r="H554" s="11"/>
    </row>
    <row r="555" spans="1:8" ht="17.399999999999999" x14ac:dyDescent="0.25">
      <c r="A555" s="32" t="s">
        <v>4</v>
      </c>
      <c r="B555" s="33"/>
      <c r="C555" s="12">
        <v>360</v>
      </c>
      <c r="D555" s="30" t="str">
        <f t="shared" si="8"/>
        <v/>
      </c>
      <c r="E555" s="13"/>
      <c r="F555" s="13"/>
      <c r="G555" s="12"/>
      <c r="H555" s="14"/>
    </row>
    <row r="556" spans="1:8" ht="17.399999999999999" x14ac:dyDescent="0.25">
      <c r="A556" s="34" t="s">
        <v>277</v>
      </c>
      <c r="B556" s="35"/>
      <c r="C556" s="9">
        <v>24.2</v>
      </c>
      <c r="D556" s="29">
        <f t="shared" si="8"/>
        <v>6.05</v>
      </c>
      <c r="E556" s="10"/>
      <c r="F556" s="10"/>
      <c r="G556" s="9"/>
      <c r="H556" s="11"/>
    </row>
    <row r="557" spans="1:8" ht="17.399999999999999" x14ac:dyDescent="0.25">
      <c r="A557" s="32" t="s">
        <v>4</v>
      </c>
      <c r="B557" s="33"/>
      <c r="C557" s="12">
        <v>4</v>
      </c>
      <c r="D557" s="30" t="str">
        <f t="shared" si="8"/>
        <v/>
      </c>
      <c r="E557" s="13"/>
      <c r="F557" s="13"/>
      <c r="G557" s="12"/>
      <c r="H557" s="14"/>
    </row>
    <row r="558" spans="1:8" ht="17.399999999999999" x14ac:dyDescent="0.25">
      <c r="A558" s="34" t="s">
        <v>278</v>
      </c>
      <c r="B558" s="35"/>
      <c r="C558" s="15">
        <v>2466.71</v>
      </c>
      <c r="D558" s="29">
        <f t="shared" si="8"/>
        <v>0.40109105691056912</v>
      </c>
      <c r="E558" s="10"/>
      <c r="F558" s="10"/>
      <c r="G558" s="15"/>
      <c r="H558" s="11"/>
    </row>
    <row r="559" spans="1:8" ht="17.399999999999999" x14ac:dyDescent="0.25">
      <c r="A559" s="32" t="s">
        <v>4</v>
      </c>
      <c r="B559" s="33"/>
      <c r="C559" s="16">
        <v>6150</v>
      </c>
      <c r="D559" s="30" t="str">
        <f t="shared" si="8"/>
        <v/>
      </c>
      <c r="E559" s="13"/>
      <c r="F559" s="13"/>
      <c r="G559" s="16"/>
      <c r="H559" s="14"/>
    </row>
    <row r="560" spans="1:8" ht="17.399999999999999" x14ac:dyDescent="0.25">
      <c r="A560" s="34" t="s">
        <v>279</v>
      </c>
      <c r="B560" s="35"/>
      <c r="C560" s="9">
        <v>46.65</v>
      </c>
      <c r="D560" s="29" t="str">
        <f t="shared" si="8"/>
        <v/>
      </c>
      <c r="E560" s="10"/>
      <c r="F560" s="10"/>
      <c r="G560" s="9"/>
      <c r="H560" s="11"/>
    </row>
    <row r="561" spans="1:8" ht="17.399999999999999" x14ac:dyDescent="0.25">
      <c r="A561" s="32" t="s">
        <v>4</v>
      </c>
      <c r="B561" s="33"/>
      <c r="C561" s="13"/>
      <c r="D561" s="30" t="str">
        <f t="shared" si="8"/>
        <v/>
      </c>
      <c r="E561" s="13"/>
      <c r="F561" s="13"/>
      <c r="G561" s="13"/>
      <c r="H561" s="14"/>
    </row>
    <row r="562" spans="1:8" ht="17.399999999999999" x14ac:dyDescent="0.25">
      <c r="A562" s="34" t="s">
        <v>280</v>
      </c>
      <c r="B562" s="35"/>
      <c r="C562" s="15">
        <v>3145.8</v>
      </c>
      <c r="D562" s="29">
        <f t="shared" si="8"/>
        <v>5.8255555555555558</v>
      </c>
      <c r="E562" s="10"/>
      <c r="F562" s="10"/>
      <c r="G562" s="15"/>
      <c r="H562" s="11"/>
    </row>
    <row r="563" spans="1:8" ht="17.399999999999999" x14ac:dyDescent="0.25">
      <c r="A563" s="32" t="s">
        <v>4</v>
      </c>
      <c r="B563" s="33"/>
      <c r="C563" s="12">
        <v>540</v>
      </c>
      <c r="D563" s="30" t="str">
        <f t="shared" si="8"/>
        <v/>
      </c>
      <c r="E563" s="13"/>
      <c r="F563" s="13"/>
      <c r="G563" s="12"/>
      <c r="H563" s="14"/>
    </row>
    <row r="564" spans="1:8" ht="17.399999999999999" x14ac:dyDescent="0.25">
      <c r="A564" s="34" t="s">
        <v>281</v>
      </c>
      <c r="B564" s="35"/>
      <c r="C564" s="9">
        <v>177.87</v>
      </c>
      <c r="D564" s="29">
        <f t="shared" si="8"/>
        <v>1.1116874999999999</v>
      </c>
      <c r="E564" s="10"/>
      <c r="F564" s="10"/>
      <c r="G564" s="9"/>
      <c r="H564" s="11"/>
    </row>
    <row r="565" spans="1:8" ht="17.399999999999999" x14ac:dyDescent="0.25">
      <c r="A565" s="32" t="s">
        <v>4</v>
      </c>
      <c r="B565" s="33"/>
      <c r="C565" s="12">
        <v>160</v>
      </c>
      <c r="D565" s="30" t="str">
        <f t="shared" si="8"/>
        <v/>
      </c>
      <c r="E565" s="13"/>
      <c r="F565" s="13"/>
      <c r="G565" s="12"/>
      <c r="H565" s="14"/>
    </row>
    <row r="566" spans="1:8" ht="17.399999999999999" x14ac:dyDescent="0.25">
      <c r="A566" s="34" t="s">
        <v>282</v>
      </c>
      <c r="B566" s="35"/>
      <c r="C566" s="15">
        <v>1354.93</v>
      </c>
      <c r="D566" s="29">
        <f t="shared" si="8"/>
        <v>0.85215723270440258</v>
      </c>
      <c r="E566" s="10"/>
      <c r="F566" s="10"/>
      <c r="G566" s="15"/>
      <c r="H566" s="11"/>
    </row>
    <row r="567" spans="1:8" ht="17.399999999999999" x14ac:dyDescent="0.25">
      <c r="A567" s="32" t="s">
        <v>4</v>
      </c>
      <c r="B567" s="33"/>
      <c r="C567" s="16">
        <v>1590</v>
      </c>
      <c r="D567" s="30" t="str">
        <f t="shared" si="8"/>
        <v/>
      </c>
      <c r="E567" s="13"/>
      <c r="F567" s="13"/>
      <c r="G567" s="16"/>
      <c r="H567" s="14"/>
    </row>
    <row r="568" spans="1:8" ht="17.399999999999999" x14ac:dyDescent="0.25">
      <c r="A568" s="34" t="s">
        <v>283</v>
      </c>
      <c r="B568" s="35"/>
      <c r="C568" s="15">
        <v>1371.63</v>
      </c>
      <c r="D568" s="29">
        <f t="shared" si="8"/>
        <v>24.938727272727274</v>
      </c>
      <c r="E568" s="10"/>
      <c r="F568" s="10"/>
      <c r="G568" s="15"/>
      <c r="H568" s="11"/>
    </row>
    <row r="569" spans="1:8" ht="17.399999999999999" x14ac:dyDescent="0.25">
      <c r="A569" s="32" t="s">
        <v>4</v>
      </c>
      <c r="B569" s="33"/>
      <c r="C569" s="12">
        <v>55</v>
      </c>
      <c r="D569" s="30" t="str">
        <f t="shared" si="8"/>
        <v/>
      </c>
      <c r="E569" s="13"/>
      <c r="F569" s="13"/>
      <c r="G569" s="12"/>
      <c r="H569" s="14"/>
    </row>
    <row r="570" spans="1:8" ht="17.399999999999999" x14ac:dyDescent="0.25">
      <c r="A570" s="34" t="s">
        <v>284</v>
      </c>
      <c r="B570" s="35"/>
      <c r="C570" s="15">
        <v>1555.06</v>
      </c>
      <c r="D570" s="29">
        <f t="shared" si="8"/>
        <v>1.5676008064516129</v>
      </c>
      <c r="E570" s="10"/>
      <c r="F570" s="10"/>
      <c r="G570" s="15"/>
      <c r="H570" s="11"/>
    </row>
    <row r="571" spans="1:8" ht="17.399999999999999" x14ac:dyDescent="0.25">
      <c r="A571" s="32" t="s">
        <v>4</v>
      </c>
      <c r="B571" s="33"/>
      <c r="C571" s="12">
        <v>992</v>
      </c>
      <c r="D571" s="30" t="str">
        <f t="shared" si="8"/>
        <v/>
      </c>
      <c r="E571" s="13"/>
      <c r="F571" s="13"/>
      <c r="G571" s="12"/>
      <c r="H571" s="14"/>
    </row>
    <row r="572" spans="1:8" ht="17.399999999999999" x14ac:dyDescent="0.25">
      <c r="A572" s="34" t="s">
        <v>285</v>
      </c>
      <c r="B572" s="35"/>
      <c r="C572" s="9">
        <v>310.42</v>
      </c>
      <c r="D572" s="29">
        <f t="shared" si="8"/>
        <v>10.347333333333333</v>
      </c>
      <c r="E572" s="10"/>
      <c r="F572" s="10"/>
      <c r="G572" s="9"/>
      <c r="H572" s="11"/>
    </row>
    <row r="573" spans="1:8" ht="17.399999999999999" x14ac:dyDescent="0.25">
      <c r="A573" s="32" t="s">
        <v>4</v>
      </c>
      <c r="B573" s="33"/>
      <c r="C573" s="12">
        <v>30</v>
      </c>
      <c r="D573" s="30" t="str">
        <f t="shared" si="8"/>
        <v/>
      </c>
      <c r="E573" s="13"/>
      <c r="F573" s="13"/>
      <c r="G573" s="12"/>
      <c r="H573" s="14"/>
    </row>
    <row r="574" spans="1:8" ht="17.399999999999999" x14ac:dyDescent="0.25">
      <c r="A574" s="34" t="s">
        <v>286</v>
      </c>
      <c r="B574" s="35"/>
      <c r="C574" s="15">
        <v>2151.4699999999998</v>
      </c>
      <c r="D574" s="29">
        <f t="shared" si="8"/>
        <v>43.029399999999995</v>
      </c>
      <c r="E574" s="10"/>
      <c r="F574" s="10"/>
      <c r="G574" s="15"/>
      <c r="H574" s="11"/>
    </row>
    <row r="575" spans="1:8" ht="17.399999999999999" x14ac:dyDescent="0.25">
      <c r="A575" s="32" t="s">
        <v>4</v>
      </c>
      <c r="B575" s="33"/>
      <c r="C575" s="12">
        <v>50</v>
      </c>
      <c r="D575" s="30" t="str">
        <f t="shared" si="8"/>
        <v/>
      </c>
      <c r="E575" s="13"/>
      <c r="F575" s="13"/>
      <c r="G575" s="12"/>
      <c r="H575" s="14"/>
    </row>
    <row r="576" spans="1:8" ht="17.399999999999999" x14ac:dyDescent="0.25">
      <c r="A576" s="34" t="s">
        <v>287</v>
      </c>
      <c r="B576" s="35"/>
      <c r="C576" s="15">
        <v>1240.27</v>
      </c>
      <c r="D576" s="29">
        <f t="shared" si="8"/>
        <v>124.027</v>
      </c>
      <c r="E576" s="10"/>
      <c r="F576" s="10"/>
      <c r="G576" s="15"/>
      <c r="H576" s="11"/>
    </row>
    <row r="577" spans="1:8" ht="17.399999999999999" x14ac:dyDescent="0.25">
      <c r="A577" s="32" t="s">
        <v>4</v>
      </c>
      <c r="B577" s="33"/>
      <c r="C577" s="12">
        <v>10</v>
      </c>
      <c r="D577" s="30" t="str">
        <f t="shared" si="8"/>
        <v/>
      </c>
      <c r="E577" s="13"/>
      <c r="F577" s="13"/>
      <c r="G577" s="12"/>
      <c r="H577" s="14"/>
    </row>
    <row r="578" spans="1:8" ht="17.399999999999999" x14ac:dyDescent="0.25">
      <c r="A578" s="34" t="s">
        <v>288</v>
      </c>
      <c r="B578" s="35"/>
      <c r="C578" s="9">
        <v>680.4</v>
      </c>
      <c r="D578" s="29">
        <f t="shared" si="8"/>
        <v>68.039999999999992</v>
      </c>
      <c r="E578" s="10"/>
      <c r="F578" s="10"/>
      <c r="G578" s="9"/>
      <c r="H578" s="11"/>
    </row>
    <row r="579" spans="1:8" ht="17.399999999999999" x14ac:dyDescent="0.25">
      <c r="A579" s="32" t="s">
        <v>4</v>
      </c>
      <c r="B579" s="33"/>
      <c r="C579" s="12">
        <v>10</v>
      </c>
      <c r="D579" s="30" t="str">
        <f t="shared" si="8"/>
        <v/>
      </c>
      <c r="E579" s="13"/>
      <c r="F579" s="13"/>
      <c r="G579" s="12"/>
      <c r="H579" s="14"/>
    </row>
    <row r="580" spans="1:8" ht="17.399999999999999" x14ac:dyDescent="0.25">
      <c r="A580" s="34" t="s">
        <v>289</v>
      </c>
      <c r="B580" s="35"/>
      <c r="C580" s="9">
        <v>572.94000000000005</v>
      </c>
      <c r="D580" s="29">
        <f t="shared" si="8"/>
        <v>1.2732000000000001</v>
      </c>
      <c r="E580" s="10"/>
      <c r="F580" s="10"/>
      <c r="G580" s="9"/>
      <c r="H580" s="11"/>
    </row>
    <row r="581" spans="1:8" ht="17.399999999999999" x14ac:dyDescent="0.25">
      <c r="A581" s="32" t="s">
        <v>4</v>
      </c>
      <c r="B581" s="33"/>
      <c r="C581" s="12">
        <v>450</v>
      </c>
      <c r="D581" s="30" t="str">
        <f t="shared" si="8"/>
        <v/>
      </c>
      <c r="E581" s="13"/>
      <c r="F581" s="13"/>
      <c r="G581" s="12"/>
      <c r="H581" s="14"/>
    </row>
    <row r="582" spans="1:8" ht="17.399999999999999" x14ac:dyDescent="0.25">
      <c r="A582" s="34" t="s">
        <v>290</v>
      </c>
      <c r="B582" s="35"/>
      <c r="C582" s="15">
        <v>2727.98</v>
      </c>
      <c r="D582" s="29">
        <f t="shared" si="8"/>
        <v>2.7279800000000001</v>
      </c>
      <c r="E582" s="10"/>
      <c r="F582" s="10"/>
      <c r="G582" s="15"/>
      <c r="H582" s="11"/>
    </row>
    <row r="583" spans="1:8" ht="17.399999999999999" x14ac:dyDescent="0.25">
      <c r="A583" s="32" t="s">
        <v>4</v>
      </c>
      <c r="B583" s="33"/>
      <c r="C583" s="16">
        <v>1000</v>
      </c>
      <c r="D583" s="30" t="str">
        <f t="shared" si="8"/>
        <v/>
      </c>
      <c r="E583" s="13"/>
      <c r="F583" s="13"/>
      <c r="G583" s="16"/>
      <c r="H583" s="14"/>
    </row>
    <row r="584" spans="1:8" ht="17.399999999999999" x14ac:dyDescent="0.25">
      <c r="A584" s="34" t="s">
        <v>291</v>
      </c>
      <c r="B584" s="35"/>
      <c r="C584" s="15">
        <v>3943.1</v>
      </c>
      <c r="D584" s="29">
        <f t="shared" si="8"/>
        <v>1.4214491708723864</v>
      </c>
      <c r="E584" s="10"/>
      <c r="F584" s="10"/>
      <c r="G584" s="15"/>
      <c r="H584" s="11"/>
    </row>
    <row r="585" spans="1:8" ht="17.399999999999999" x14ac:dyDescent="0.25">
      <c r="A585" s="32" t="s">
        <v>4</v>
      </c>
      <c r="B585" s="33"/>
      <c r="C585" s="16">
        <v>2774</v>
      </c>
      <c r="D585" s="30" t="str">
        <f t="shared" si="8"/>
        <v/>
      </c>
      <c r="E585" s="13"/>
      <c r="F585" s="13"/>
      <c r="G585" s="16"/>
      <c r="H585" s="14"/>
    </row>
    <row r="586" spans="1:8" ht="17.399999999999999" x14ac:dyDescent="0.25">
      <c r="A586" s="34" t="s">
        <v>292</v>
      </c>
      <c r="B586" s="35"/>
      <c r="C586" s="15">
        <v>8115.56</v>
      </c>
      <c r="D586" s="29">
        <f t="shared" ref="D586:D649" si="9">IF($A587="Кол-во",IFERROR($C586/$C587,""),"")</f>
        <v>54.466845637583894</v>
      </c>
      <c r="E586" s="10"/>
      <c r="F586" s="10"/>
      <c r="G586" s="15"/>
      <c r="H586" s="11"/>
    </row>
    <row r="587" spans="1:8" ht="17.399999999999999" x14ac:dyDescent="0.25">
      <c r="A587" s="32" t="s">
        <v>4</v>
      </c>
      <c r="B587" s="33"/>
      <c r="C587" s="12">
        <v>149</v>
      </c>
      <c r="D587" s="30" t="str">
        <f t="shared" si="9"/>
        <v/>
      </c>
      <c r="E587" s="13"/>
      <c r="F587" s="13"/>
      <c r="G587" s="12"/>
      <c r="H587" s="14"/>
    </row>
    <row r="588" spans="1:8" ht="17.399999999999999" x14ac:dyDescent="0.25">
      <c r="A588" s="34" t="s">
        <v>293</v>
      </c>
      <c r="B588" s="35"/>
      <c r="C588" s="15">
        <v>4730</v>
      </c>
      <c r="D588" s="29">
        <f t="shared" si="9"/>
        <v>21.5</v>
      </c>
      <c r="E588" s="10"/>
      <c r="F588" s="10"/>
      <c r="G588" s="15"/>
      <c r="H588" s="11"/>
    </row>
    <row r="589" spans="1:8" ht="17.399999999999999" x14ac:dyDescent="0.25">
      <c r="A589" s="32" t="s">
        <v>4</v>
      </c>
      <c r="B589" s="33"/>
      <c r="C589" s="12">
        <v>220</v>
      </c>
      <c r="D589" s="30" t="str">
        <f t="shared" si="9"/>
        <v/>
      </c>
      <c r="E589" s="13"/>
      <c r="F589" s="13"/>
      <c r="G589" s="12"/>
      <c r="H589" s="14"/>
    </row>
    <row r="590" spans="1:8" ht="17.399999999999999" x14ac:dyDescent="0.25">
      <c r="A590" s="34" t="s">
        <v>294</v>
      </c>
      <c r="B590" s="35"/>
      <c r="C590" s="9">
        <v>357.2</v>
      </c>
      <c r="D590" s="29">
        <f t="shared" si="9"/>
        <v>0.38</v>
      </c>
      <c r="E590" s="10"/>
      <c r="F590" s="10"/>
      <c r="G590" s="9"/>
      <c r="H590" s="11"/>
    </row>
    <row r="591" spans="1:8" ht="17.399999999999999" x14ac:dyDescent="0.25">
      <c r="A591" s="32" t="s">
        <v>4</v>
      </c>
      <c r="B591" s="33"/>
      <c r="C591" s="12">
        <v>940</v>
      </c>
      <c r="D591" s="30" t="str">
        <f t="shared" si="9"/>
        <v/>
      </c>
      <c r="E591" s="13"/>
      <c r="F591" s="13"/>
      <c r="G591" s="12"/>
      <c r="H591" s="14"/>
    </row>
    <row r="592" spans="1:8" ht="17.399999999999999" x14ac:dyDescent="0.25">
      <c r="A592" s="34" t="s">
        <v>295</v>
      </c>
      <c r="B592" s="35"/>
      <c r="C592" s="9">
        <v>172.8</v>
      </c>
      <c r="D592" s="29">
        <f t="shared" si="9"/>
        <v>0.54</v>
      </c>
      <c r="E592" s="10"/>
      <c r="F592" s="10"/>
      <c r="G592" s="9"/>
      <c r="H592" s="11"/>
    </row>
    <row r="593" spans="1:8" ht="17.399999999999999" x14ac:dyDescent="0.25">
      <c r="A593" s="32" t="s">
        <v>4</v>
      </c>
      <c r="B593" s="33"/>
      <c r="C593" s="12">
        <v>320</v>
      </c>
      <c r="D593" s="30" t="str">
        <f t="shared" si="9"/>
        <v/>
      </c>
      <c r="E593" s="13"/>
      <c r="F593" s="13"/>
      <c r="G593" s="12"/>
      <c r="H593" s="14"/>
    </row>
    <row r="594" spans="1:8" ht="17.399999999999999" x14ac:dyDescent="0.25">
      <c r="A594" s="34" t="s">
        <v>296</v>
      </c>
      <c r="B594" s="35"/>
      <c r="C594" s="9">
        <v>214.81</v>
      </c>
      <c r="D594" s="29">
        <f t="shared" si="9"/>
        <v>0.55079487179487185</v>
      </c>
      <c r="E594" s="10"/>
      <c r="F594" s="10"/>
      <c r="G594" s="9"/>
      <c r="H594" s="11"/>
    </row>
    <row r="595" spans="1:8" ht="17.399999999999999" x14ac:dyDescent="0.25">
      <c r="A595" s="32" t="s">
        <v>4</v>
      </c>
      <c r="B595" s="33"/>
      <c r="C595" s="12">
        <v>390</v>
      </c>
      <c r="D595" s="30" t="str">
        <f t="shared" si="9"/>
        <v/>
      </c>
      <c r="E595" s="13"/>
      <c r="F595" s="13"/>
      <c r="G595" s="12"/>
      <c r="H595" s="14"/>
    </row>
    <row r="596" spans="1:8" ht="17.399999999999999" x14ac:dyDescent="0.25">
      <c r="A596" s="34" t="s">
        <v>297</v>
      </c>
      <c r="B596" s="35"/>
      <c r="C596" s="9">
        <v>331.18</v>
      </c>
      <c r="D596" s="29">
        <f t="shared" si="9"/>
        <v>0.45997222222222223</v>
      </c>
      <c r="E596" s="10"/>
      <c r="F596" s="10"/>
      <c r="G596" s="9"/>
      <c r="H596" s="11"/>
    </row>
    <row r="597" spans="1:8" ht="17.399999999999999" x14ac:dyDescent="0.25">
      <c r="A597" s="32" t="s">
        <v>4</v>
      </c>
      <c r="B597" s="33"/>
      <c r="C597" s="12">
        <v>720</v>
      </c>
      <c r="D597" s="30" t="str">
        <f t="shared" si="9"/>
        <v/>
      </c>
      <c r="E597" s="13"/>
      <c r="F597" s="13"/>
      <c r="G597" s="12"/>
      <c r="H597" s="14"/>
    </row>
    <row r="598" spans="1:8" ht="17.399999999999999" x14ac:dyDescent="0.25">
      <c r="A598" s="34" t="s">
        <v>298</v>
      </c>
      <c r="B598" s="35"/>
      <c r="C598" s="9">
        <v>65.98</v>
      </c>
      <c r="D598" s="29">
        <f t="shared" si="9"/>
        <v>6.5980000000000008</v>
      </c>
      <c r="E598" s="10"/>
      <c r="F598" s="10"/>
      <c r="G598" s="9"/>
      <c r="H598" s="11"/>
    </row>
    <row r="599" spans="1:8" ht="17.399999999999999" x14ac:dyDescent="0.25">
      <c r="A599" s="32" t="s">
        <v>4</v>
      </c>
      <c r="B599" s="33"/>
      <c r="C599" s="12">
        <v>10</v>
      </c>
      <c r="D599" s="30" t="str">
        <f t="shared" si="9"/>
        <v/>
      </c>
      <c r="E599" s="13"/>
      <c r="F599" s="13"/>
      <c r="G599" s="12"/>
      <c r="H599" s="14"/>
    </row>
    <row r="600" spans="1:8" ht="17.399999999999999" x14ac:dyDescent="0.25">
      <c r="A600" s="34" t="s">
        <v>299</v>
      </c>
      <c r="B600" s="35"/>
      <c r="C600" s="15">
        <v>3601.99</v>
      </c>
      <c r="D600" s="29">
        <f t="shared" si="9"/>
        <v>3.2894885844748858</v>
      </c>
      <c r="E600" s="10"/>
      <c r="F600" s="10"/>
      <c r="G600" s="15"/>
      <c r="H600" s="11"/>
    </row>
    <row r="601" spans="1:8" ht="17.399999999999999" x14ac:dyDescent="0.25">
      <c r="A601" s="32" t="s">
        <v>4</v>
      </c>
      <c r="B601" s="33"/>
      <c r="C601" s="16">
        <v>1095</v>
      </c>
      <c r="D601" s="30" t="str">
        <f t="shared" si="9"/>
        <v/>
      </c>
      <c r="E601" s="13"/>
      <c r="F601" s="13"/>
      <c r="G601" s="16"/>
      <c r="H601" s="14"/>
    </row>
    <row r="602" spans="1:8" ht="17.399999999999999" x14ac:dyDescent="0.25">
      <c r="A602" s="34" t="s">
        <v>300</v>
      </c>
      <c r="B602" s="35"/>
      <c r="C602" s="15">
        <v>2086.39</v>
      </c>
      <c r="D602" s="29">
        <f t="shared" si="9"/>
        <v>5.4904999999999999</v>
      </c>
      <c r="E602" s="10"/>
      <c r="F602" s="10"/>
      <c r="G602" s="15"/>
      <c r="H602" s="11"/>
    </row>
    <row r="603" spans="1:8" ht="17.399999999999999" x14ac:dyDescent="0.25">
      <c r="A603" s="32" t="s">
        <v>4</v>
      </c>
      <c r="B603" s="33"/>
      <c r="C603" s="12">
        <v>380</v>
      </c>
      <c r="D603" s="30" t="str">
        <f t="shared" si="9"/>
        <v/>
      </c>
      <c r="E603" s="13"/>
      <c r="F603" s="13"/>
      <c r="G603" s="12"/>
      <c r="H603" s="14"/>
    </row>
    <row r="604" spans="1:8" ht="17.399999999999999" x14ac:dyDescent="0.25">
      <c r="A604" s="34" t="s">
        <v>301</v>
      </c>
      <c r="B604" s="35"/>
      <c r="C604" s="15">
        <v>2322.4699999999998</v>
      </c>
      <c r="D604" s="29">
        <f t="shared" si="9"/>
        <v>3.6231981279251166</v>
      </c>
      <c r="E604" s="10"/>
      <c r="F604" s="10"/>
      <c r="G604" s="15"/>
      <c r="H604" s="11"/>
    </row>
    <row r="605" spans="1:8" ht="17.399999999999999" x14ac:dyDescent="0.25">
      <c r="A605" s="32" t="s">
        <v>4</v>
      </c>
      <c r="B605" s="33"/>
      <c r="C605" s="12">
        <v>641</v>
      </c>
      <c r="D605" s="30" t="str">
        <f t="shared" si="9"/>
        <v/>
      </c>
      <c r="E605" s="13"/>
      <c r="F605" s="13"/>
      <c r="G605" s="12"/>
      <c r="H605" s="14"/>
    </row>
    <row r="606" spans="1:8" ht="17.399999999999999" x14ac:dyDescent="0.25">
      <c r="A606" s="34" t="s">
        <v>302</v>
      </c>
      <c r="B606" s="35"/>
      <c r="C606" s="15">
        <v>8634.4599999999991</v>
      </c>
      <c r="D606" s="29">
        <f t="shared" si="9"/>
        <v>2.5820753588516743</v>
      </c>
      <c r="E606" s="10"/>
      <c r="F606" s="10"/>
      <c r="G606" s="15"/>
      <c r="H606" s="11"/>
    </row>
    <row r="607" spans="1:8" ht="17.399999999999999" x14ac:dyDescent="0.25">
      <c r="A607" s="32" t="s">
        <v>4</v>
      </c>
      <c r="B607" s="33"/>
      <c r="C607" s="16">
        <v>3344</v>
      </c>
      <c r="D607" s="30" t="str">
        <f t="shared" si="9"/>
        <v/>
      </c>
      <c r="E607" s="13"/>
      <c r="F607" s="13"/>
      <c r="G607" s="16"/>
      <c r="H607" s="14"/>
    </row>
    <row r="608" spans="1:8" ht="17.399999999999999" x14ac:dyDescent="0.25">
      <c r="A608" s="34" t="s">
        <v>303</v>
      </c>
      <c r="B608" s="35"/>
      <c r="C608" s="15">
        <v>20635.14</v>
      </c>
      <c r="D608" s="29">
        <f t="shared" si="9"/>
        <v>4.8134219734079773</v>
      </c>
      <c r="E608" s="10"/>
      <c r="F608" s="10"/>
      <c r="G608" s="15"/>
      <c r="H608" s="11"/>
    </row>
    <row r="609" spans="1:8" ht="17.399999999999999" x14ac:dyDescent="0.25">
      <c r="A609" s="32" t="s">
        <v>4</v>
      </c>
      <c r="B609" s="33"/>
      <c r="C609" s="16">
        <v>4287</v>
      </c>
      <c r="D609" s="30" t="str">
        <f t="shared" si="9"/>
        <v/>
      </c>
      <c r="E609" s="13"/>
      <c r="F609" s="13"/>
      <c r="G609" s="16"/>
      <c r="H609" s="14"/>
    </row>
    <row r="610" spans="1:8" ht="17.399999999999999" x14ac:dyDescent="0.25">
      <c r="A610" s="34" t="s">
        <v>304</v>
      </c>
      <c r="B610" s="35"/>
      <c r="C610" s="9">
        <v>261.43</v>
      </c>
      <c r="D610" s="29">
        <f t="shared" si="9"/>
        <v>0.4022</v>
      </c>
      <c r="E610" s="10"/>
      <c r="F610" s="10"/>
      <c r="G610" s="9"/>
      <c r="H610" s="11"/>
    </row>
    <row r="611" spans="1:8" ht="17.399999999999999" x14ac:dyDescent="0.25">
      <c r="A611" s="32" t="s">
        <v>4</v>
      </c>
      <c r="B611" s="33"/>
      <c r="C611" s="12">
        <v>650</v>
      </c>
      <c r="D611" s="30" t="str">
        <f t="shared" si="9"/>
        <v/>
      </c>
      <c r="E611" s="13"/>
      <c r="F611" s="13"/>
      <c r="G611" s="12"/>
      <c r="H611" s="14"/>
    </row>
    <row r="612" spans="1:8" ht="17.399999999999999" x14ac:dyDescent="0.25">
      <c r="A612" s="34" t="s">
        <v>305</v>
      </c>
      <c r="B612" s="35"/>
      <c r="C612" s="9">
        <v>72.14</v>
      </c>
      <c r="D612" s="29">
        <f t="shared" si="9"/>
        <v>0.36070000000000002</v>
      </c>
      <c r="E612" s="10"/>
      <c r="F612" s="10"/>
      <c r="G612" s="9"/>
      <c r="H612" s="11"/>
    </row>
    <row r="613" spans="1:8" ht="17.399999999999999" x14ac:dyDescent="0.25">
      <c r="A613" s="32" t="s">
        <v>4</v>
      </c>
      <c r="B613" s="33"/>
      <c r="C613" s="12">
        <v>200</v>
      </c>
      <c r="D613" s="30" t="str">
        <f t="shared" si="9"/>
        <v/>
      </c>
      <c r="E613" s="13"/>
      <c r="F613" s="13"/>
      <c r="G613" s="12"/>
      <c r="H613" s="14"/>
    </row>
    <row r="614" spans="1:8" ht="17.399999999999999" x14ac:dyDescent="0.25">
      <c r="A614" s="34" t="s">
        <v>306</v>
      </c>
      <c r="B614" s="35"/>
      <c r="C614" s="9">
        <v>611.28</v>
      </c>
      <c r="D614" s="29">
        <f t="shared" si="9"/>
        <v>3.0564</v>
      </c>
      <c r="E614" s="10"/>
      <c r="F614" s="10"/>
      <c r="G614" s="9"/>
      <c r="H614" s="11"/>
    </row>
    <row r="615" spans="1:8" ht="17.399999999999999" x14ac:dyDescent="0.25">
      <c r="A615" s="32" t="s">
        <v>4</v>
      </c>
      <c r="B615" s="33"/>
      <c r="C615" s="12">
        <v>200</v>
      </c>
      <c r="D615" s="30" t="str">
        <f t="shared" si="9"/>
        <v/>
      </c>
      <c r="E615" s="13"/>
      <c r="F615" s="13"/>
      <c r="G615" s="12"/>
      <c r="H615" s="14"/>
    </row>
    <row r="616" spans="1:8" ht="17.399999999999999" x14ac:dyDescent="0.25">
      <c r="A616" s="34" t="s">
        <v>307</v>
      </c>
      <c r="B616" s="35"/>
      <c r="C616" s="9">
        <v>203.44</v>
      </c>
      <c r="D616" s="29">
        <f t="shared" si="9"/>
        <v>20.344000000000001</v>
      </c>
      <c r="E616" s="10"/>
      <c r="F616" s="10"/>
      <c r="G616" s="9"/>
      <c r="H616" s="11"/>
    </row>
    <row r="617" spans="1:8" ht="17.399999999999999" x14ac:dyDescent="0.25">
      <c r="A617" s="32" t="s">
        <v>4</v>
      </c>
      <c r="B617" s="33"/>
      <c r="C617" s="12">
        <v>10</v>
      </c>
      <c r="D617" s="30" t="str">
        <f t="shared" si="9"/>
        <v/>
      </c>
      <c r="E617" s="13"/>
      <c r="F617" s="13"/>
      <c r="G617" s="12"/>
      <c r="H617" s="14"/>
    </row>
    <row r="618" spans="1:8" ht="17.399999999999999" x14ac:dyDescent="0.25">
      <c r="A618" s="34" t="s">
        <v>308</v>
      </c>
      <c r="B618" s="35"/>
      <c r="C618" s="9">
        <v>101.72</v>
      </c>
      <c r="D618" s="29">
        <f t="shared" si="9"/>
        <v>20.344000000000001</v>
      </c>
      <c r="E618" s="10"/>
      <c r="F618" s="10"/>
      <c r="G618" s="9"/>
      <c r="H618" s="11"/>
    </row>
    <row r="619" spans="1:8" ht="17.399999999999999" x14ac:dyDescent="0.25">
      <c r="A619" s="32" t="s">
        <v>4</v>
      </c>
      <c r="B619" s="33"/>
      <c r="C619" s="12">
        <v>5</v>
      </c>
      <c r="D619" s="30" t="str">
        <f t="shared" si="9"/>
        <v/>
      </c>
      <c r="E619" s="13"/>
      <c r="F619" s="13"/>
      <c r="G619" s="12"/>
      <c r="H619" s="14"/>
    </row>
    <row r="620" spans="1:8" ht="17.399999999999999" x14ac:dyDescent="0.25">
      <c r="A620" s="34" t="s">
        <v>309</v>
      </c>
      <c r="B620" s="35"/>
      <c r="C620" s="15">
        <v>73063.58</v>
      </c>
      <c r="D620" s="29">
        <f t="shared" si="9"/>
        <v>14.525562624254473</v>
      </c>
      <c r="E620" s="10"/>
      <c r="F620" s="10"/>
      <c r="G620" s="15"/>
      <c r="H620" s="11"/>
    </row>
    <row r="621" spans="1:8" ht="17.399999999999999" x14ac:dyDescent="0.25">
      <c r="A621" s="32" t="s">
        <v>4</v>
      </c>
      <c r="B621" s="33"/>
      <c r="C621" s="16">
        <v>5030</v>
      </c>
      <c r="D621" s="30" t="str">
        <f t="shared" si="9"/>
        <v/>
      </c>
      <c r="E621" s="13"/>
      <c r="F621" s="13"/>
      <c r="G621" s="16"/>
      <c r="H621" s="14"/>
    </row>
    <row r="622" spans="1:8" ht="17.399999999999999" x14ac:dyDescent="0.25">
      <c r="A622" s="34" t="s">
        <v>310</v>
      </c>
      <c r="B622" s="35"/>
      <c r="C622" s="15">
        <v>2051.46</v>
      </c>
      <c r="D622" s="29">
        <f t="shared" si="9"/>
        <v>14.653285714285715</v>
      </c>
      <c r="E622" s="10"/>
      <c r="F622" s="10"/>
      <c r="G622" s="15"/>
      <c r="H622" s="11"/>
    </row>
    <row r="623" spans="1:8" ht="17.399999999999999" x14ac:dyDescent="0.25">
      <c r="A623" s="32" t="s">
        <v>4</v>
      </c>
      <c r="B623" s="33"/>
      <c r="C623" s="12">
        <v>140</v>
      </c>
      <c r="D623" s="30" t="str">
        <f t="shared" si="9"/>
        <v/>
      </c>
      <c r="E623" s="13"/>
      <c r="F623" s="13"/>
      <c r="G623" s="12"/>
      <c r="H623" s="14"/>
    </row>
    <row r="624" spans="1:8" ht="17.399999999999999" x14ac:dyDescent="0.25">
      <c r="A624" s="34" t="s">
        <v>311</v>
      </c>
      <c r="B624" s="35"/>
      <c r="C624" s="9">
        <v>49.94</v>
      </c>
      <c r="D624" s="29">
        <f t="shared" si="9"/>
        <v>8.3233333333333324</v>
      </c>
      <c r="E624" s="10"/>
      <c r="F624" s="10"/>
      <c r="G624" s="9"/>
      <c r="H624" s="11"/>
    </row>
    <row r="625" spans="1:8" ht="17.399999999999999" x14ac:dyDescent="0.25">
      <c r="A625" s="32" t="s">
        <v>4</v>
      </c>
      <c r="B625" s="33"/>
      <c r="C625" s="12">
        <v>6</v>
      </c>
      <c r="D625" s="30" t="str">
        <f t="shared" si="9"/>
        <v/>
      </c>
      <c r="E625" s="13"/>
      <c r="F625" s="13"/>
      <c r="G625" s="12"/>
      <c r="H625" s="14"/>
    </row>
    <row r="626" spans="1:8" ht="17.399999999999999" x14ac:dyDescent="0.25">
      <c r="A626" s="34" t="s">
        <v>312</v>
      </c>
      <c r="B626" s="35"/>
      <c r="C626" s="9">
        <v>630</v>
      </c>
      <c r="D626" s="29">
        <f t="shared" si="9"/>
        <v>18</v>
      </c>
      <c r="E626" s="10"/>
      <c r="F626" s="10"/>
      <c r="G626" s="9"/>
      <c r="H626" s="11"/>
    </row>
    <row r="627" spans="1:8" ht="17.399999999999999" x14ac:dyDescent="0.25">
      <c r="A627" s="32" t="s">
        <v>4</v>
      </c>
      <c r="B627" s="33"/>
      <c r="C627" s="12">
        <v>35</v>
      </c>
      <c r="D627" s="30" t="str">
        <f t="shared" si="9"/>
        <v/>
      </c>
      <c r="E627" s="13"/>
      <c r="F627" s="13"/>
      <c r="G627" s="12"/>
      <c r="H627" s="14"/>
    </row>
    <row r="628" spans="1:8" ht="17.399999999999999" x14ac:dyDescent="0.25">
      <c r="A628" s="34" t="s">
        <v>313</v>
      </c>
      <c r="B628" s="35"/>
      <c r="C628" s="15">
        <v>2123.86</v>
      </c>
      <c r="D628" s="29">
        <f t="shared" si="9"/>
        <v>141.59066666666666</v>
      </c>
      <c r="E628" s="10"/>
      <c r="F628" s="10"/>
      <c r="G628" s="15"/>
      <c r="H628" s="11"/>
    </row>
    <row r="629" spans="1:8" ht="17.399999999999999" x14ac:dyDescent="0.25">
      <c r="A629" s="32" t="s">
        <v>4</v>
      </c>
      <c r="B629" s="33"/>
      <c r="C629" s="12">
        <v>15</v>
      </c>
      <c r="D629" s="30" t="str">
        <f t="shared" si="9"/>
        <v/>
      </c>
      <c r="E629" s="13"/>
      <c r="F629" s="13"/>
      <c r="G629" s="12"/>
      <c r="H629" s="14"/>
    </row>
    <row r="630" spans="1:8" ht="17.399999999999999" x14ac:dyDescent="0.25">
      <c r="A630" s="34" t="s">
        <v>314</v>
      </c>
      <c r="B630" s="35"/>
      <c r="C630" s="9">
        <v>427.68</v>
      </c>
      <c r="D630" s="29">
        <f t="shared" si="9"/>
        <v>14.256</v>
      </c>
      <c r="E630" s="10"/>
      <c r="F630" s="10"/>
      <c r="G630" s="9"/>
      <c r="H630" s="11"/>
    </row>
    <row r="631" spans="1:8" ht="17.399999999999999" x14ac:dyDescent="0.25">
      <c r="A631" s="32" t="s">
        <v>4</v>
      </c>
      <c r="B631" s="33"/>
      <c r="C631" s="12">
        <v>30</v>
      </c>
      <c r="D631" s="30" t="str">
        <f t="shared" si="9"/>
        <v/>
      </c>
      <c r="E631" s="13"/>
      <c r="F631" s="13"/>
      <c r="G631" s="12"/>
      <c r="H631" s="14"/>
    </row>
    <row r="632" spans="1:8" ht="17.399999999999999" x14ac:dyDescent="0.25">
      <c r="A632" s="34" t="s">
        <v>315</v>
      </c>
      <c r="B632" s="35"/>
      <c r="C632" s="9">
        <v>51.84</v>
      </c>
      <c r="D632" s="29">
        <f t="shared" si="9"/>
        <v>51.84</v>
      </c>
      <c r="E632" s="10"/>
      <c r="F632" s="10"/>
      <c r="G632" s="9"/>
      <c r="H632" s="11"/>
    </row>
    <row r="633" spans="1:8" ht="17.399999999999999" x14ac:dyDescent="0.25">
      <c r="A633" s="32" t="s">
        <v>4</v>
      </c>
      <c r="B633" s="33"/>
      <c r="C633" s="12">
        <v>1</v>
      </c>
      <c r="D633" s="30" t="str">
        <f t="shared" si="9"/>
        <v/>
      </c>
      <c r="E633" s="13"/>
      <c r="F633" s="13"/>
      <c r="G633" s="12"/>
      <c r="H633" s="14"/>
    </row>
    <row r="634" spans="1:8" ht="17.399999999999999" x14ac:dyDescent="0.25">
      <c r="A634" s="34" t="s">
        <v>316</v>
      </c>
      <c r="B634" s="35"/>
      <c r="C634" s="15">
        <v>5760.72</v>
      </c>
      <c r="D634" s="29">
        <f t="shared" si="9"/>
        <v>2.1335999999999999</v>
      </c>
      <c r="E634" s="10"/>
      <c r="F634" s="10"/>
      <c r="G634" s="15"/>
      <c r="H634" s="11"/>
    </row>
    <row r="635" spans="1:8" ht="17.399999999999999" x14ac:dyDescent="0.25">
      <c r="A635" s="32" t="s">
        <v>4</v>
      </c>
      <c r="B635" s="33"/>
      <c r="C635" s="16">
        <v>2700</v>
      </c>
      <c r="D635" s="30" t="str">
        <f t="shared" si="9"/>
        <v/>
      </c>
      <c r="E635" s="13"/>
      <c r="F635" s="13"/>
      <c r="G635" s="16"/>
      <c r="H635" s="14"/>
    </row>
    <row r="636" spans="1:8" ht="17.399999999999999" x14ac:dyDescent="0.25">
      <c r="A636" s="34" t="s">
        <v>317</v>
      </c>
      <c r="B636" s="35"/>
      <c r="C636" s="9">
        <v>755.94</v>
      </c>
      <c r="D636" s="29">
        <f t="shared" si="9"/>
        <v>1.1453636363636364</v>
      </c>
      <c r="E636" s="10"/>
      <c r="F636" s="10"/>
      <c r="G636" s="9"/>
      <c r="H636" s="11"/>
    </row>
    <row r="637" spans="1:8" ht="17.399999999999999" x14ac:dyDescent="0.25">
      <c r="A637" s="32" t="s">
        <v>4</v>
      </c>
      <c r="B637" s="33"/>
      <c r="C637" s="12">
        <v>660</v>
      </c>
      <c r="D637" s="30" t="str">
        <f t="shared" si="9"/>
        <v/>
      </c>
      <c r="E637" s="13"/>
      <c r="F637" s="13"/>
      <c r="G637" s="12"/>
      <c r="H637" s="14"/>
    </row>
    <row r="638" spans="1:8" ht="17.399999999999999" x14ac:dyDescent="0.25">
      <c r="A638" s="34" t="s">
        <v>318</v>
      </c>
      <c r="B638" s="35"/>
      <c r="C638" s="9">
        <v>169.02</v>
      </c>
      <c r="D638" s="29">
        <f t="shared" si="9"/>
        <v>2.1127500000000001</v>
      </c>
      <c r="E638" s="10"/>
      <c r="F638" s="10"/>
      <c r="G638" s="9"/>
      <c r="H638" s="11"/>
    </row>
    <row r="639" spans="1:8" ht="17.399999999999999" x14ac:dyDescent="0.25">
      <c r="A639" s="32" t="s">
        <v>4</v>
      </c>
      <c r="B639" s="33"/>
      <c r="C639" s="12">
        <v>80</v>
      </c>
      <c r="D639" s="30" t="str">
        <f t="shared" si="9"/>
        <v/>
      </c>
      <c r="E639" s="13"/>
      <c r="F639" s="13"/>
      <c r="G639" s="12"/>
      <c r="H639" s="14"/>
    </row>
    <row r="640" spans="1:8" ht="17.399999999999999" x14ac:dyDescent="0.25">
      <c r="A640" s="34" t="s">
        <v>319</v>
      </c>
      <c r="B640" s="35"/>
      <c r="C640" s="9">
        <v>522.52</v>
      </c>
      <c r="D640" s="29">
        <f t="shared" si="9"/>
        <v>19.352592592592593</v>
      </c>
      <c r="E640" s="10"/>
      <c r="F640" s="10"/>
      <c r="G640" s="9"/>
      <c r="H640" s="11"/>
    </row>
    <row r="641" spans="1:8" ht="17.399999999999999" x14ac:dyDescent="0.25">
      <c r="A641" s="32" t="s">
        <v>4</v>
      </c>
      <c r="B641" s="33"/>
      <c r="C641" s="12">
        <v>27</v>
      </c>
      <c r="D641" s="30" t="str">
        <f t="shared" si="9"/>
        <v/>
      </c>
      <c r="E641" s="13"/>
      <c r="F641" s="13"/>
      <c r="G641" s="12"/>
      <c r="H641" s="14"/>
    </row>
    <row r="642" spans="1:8" ht="17.399999999999999" x14ac:dyDescent="0.25">
      <c r="A642" s="34" t="s">
        <v>320</v>
      </c>
      <c r="B642" s="35"/>
      <c r="C642" s="9">
        <v>115.42</v>
      </c>
      <c r="D642" s="29">
        <f t="shared" si="9"/>
        <v>28.855</v>
      </c>
      <c r="E642" s="10"/>
      <c r="F642" s="10"/>
      <c r="G642" s="9"/>
      <c r="H642" s="11"/>
    </row>
    <row r="643" spans="1:8" ht="17.399999999999999" x14ac:dyDescent="0.25">
      <c r="A643" s="32" t="s">
        <v>4</v>
      </c>
      <c r="B643" s="33"/>
      <c r="C643" s="12">
        <v>4</v>
      </c>
      <c r="D643" s="30" t="str">
        <f t="shared" si="9"/>
        <v/>
      </c>
      <c r="E643" s="13"/>
      <c r="F643" s="13"/>
      <c r="G643" s="12"/>
      <c r="H643" s="14"/>
    </row>
    <row r="644" spans="1:8" ht="17.399999999999999" x14ac:dyDescent="0.25">
      <c r="A644" s="34" t="s">
        <v>321</v>
      </c>
      <c r="B644" s="35"/>
      <c r="C644" s="9">
        <v>420.77</v>
      </c>
      <c r="D644" s="29">
        <f t="shared" si="9"/>
        <v>21.038499999999999</v>
      </c>
      <c r="E644" s="10"/>
      <c r="F644" s="10"/>
      <c r="G644" s="9"/>
      <c r="H644" s="11"/>
    </row>
    <row r="645" spans="1:8" ht="17.399999999999999" x14ac:dyDescent="0.25">
      <c r="A645" s="32" t="s">
        <v>4</v>
      </c>
      <c r="B645" s="33"/>
      <c r="C645" s="12">
        <v>20</v>
      </c>
      <c r="D645" s="30" t="str">
        <f t="shared" si="9"/>
        <v/>
      </c>
      <c r="E645" s="13"/>
      <c r="F645" s="13"/>
      <c r="G645" s="12"/>
      <c r="H645" s="14"/>
    </row>
    <row r="646" spans="1:8" ht="17.399999999999999" x14ac:dyDescent="0.25">
      <c r="A646" s="34" t="s">
        <v>322</v>
      </c>
      <c r="B646" s="35"/>
      <c r="C646" s="9">
        <v>259.2</v>
      </c>
      <c r="D646" s="29">
        <f t="shared" si="9"/>
        <v>2.1599999999999997</v>
      </c>
      <c r="E646" s="10"/>
      <c r="F646" s="10"/>
      <c r="G646" s="9"/>
      <c r="H646" s="11"/>
    </row>
    <row r="647" spans="1:8" ht="17.399999999999999" x14ac:dyDescent="0.25">
      <c r="A647" s="32" t="s">
        <v>4</v>
      </c>
      <c r="B647" s="33"/>
      <c r="C647" s="12">
        <v>120</v>
      </c>
      <c r="D647" s="30" t="str">
        <f t="shared" si="9"/>
        <v/>
      </c>
      <c r="E647" s="13"/>
      <c r="F647" s="13"/>
      <c r="G647" s="12"/>
      <c r="H647" s="14"/>
    </row>
    <row r="648" spans="1:8" ht="17.399999999999999" x14ac:dyDescent="0.25">
      <c r="A648" s="34" t="s">
        <v>323</v>
      </c>
      <c r="B648" s="35"/>
      <c r="C648" s="15">
        <v>370406.29</v>
      </c>
      <c r="D648" s="29">
        <f t="shared" si="9"/>
        <v>68.619171915524262</v>
      </c>
      <c r="E648" s="10"/>
      <c r="F648" s="10"/>
      <c r="G648" s="15"/>
      <c r="H648" s="11"/>
    </row>
    <row r="649" spans="1:8" ht="17.399999999999999" x14ac:dyDescent="0.25">
      <c r="A649" s="32" t="s">
        <v>4</v>
      </c>
      <c r="B649" s="33"/>
      <c r="C649" s="16">
        <v>5398</v>
      </c>
      <c r="D649" s="30" t="str">
        <f t="shared" si="9"/>
        <v/>
      </c>
      <c r="E649" s="13"/>
      <c r="F649" s="13"/>
      <c r="G649" s="16"/>
      <c r="H649" s="14"/>
    </row>
    <row r="650" spans="1:8" ht="17.399999999999999" x14ac:dyDescent="0.25">
      <c r="A650" s="34" t="s">
        <v>324</v>
      </c>
      <c r="B650" s="35"/>
      <c r="C650" s="9">
        <v>176.41</v>
      </c>
      <c r="D650" s="29">
        <f t="shared" ref="D650:D713" si="10">IF($A651="Кол-во",IFERROR($C650/$C651,""),"")</f>
        <v>88.204999999999998</v>
      </c>
      <c r="E650" s="10"/>
      <c r="F650" s="10"/>
      <c r="G650" s="9"/>
      <c r="H650" s="11"/>
    </row>
    <row r="651" spans="1:8" ht="17.399999999999999" x14ac:dyDescent="0.25">
      <c r="A651" s="32" t="s">
        <v>4</v>
      </c>
      <c r="B651" s="33"/>
      <c r="C651" s="12">
        <v>2</v>
      </c>
      <c r="D651" s="30" t="str">
        <f t="shared" si="10"/>
        <v/>
      </c>
      <c r="E651" s="13"/>
      <c r="F651" s="13"/>
      <c r="G651" s="12"/>
      <c r="H651" s="14"/>
    </row>
    <row r="652" spans="1:8" ht="17.399999999999999" x14ac:dyDescent="0.25">
      <c r="A652" s="34" t="s">
        <v>325</v>
      </c>
      <c r="B652" s="35"/>
      <c r="C652" s="9">
        <v>139.47999999999999</v>
      </c>
      <c r="D652" s="29">
        <f t="shared" si="10"/>
        <v>3.4869999999999997</v>
      </c>
      <c r="E652" s="10"/>
      <c r="F652" s="10"/>
      <c r="G652" s="9"/>
      <c r="H652" s="11"/>
    </row>
    <row r="653" spans="1:8" ht="17.399999999999999" x14ac:dyDescent="0.25">
      <c r="A653" s="32" t="s">
        <v>4</v>
      </c>
      <c r="B653" s="33"/>
      <c r="C653" s="12">
        <v>40</v>
      </c>
      <c r="D653" s="30" t="str">
        <f t="shared" si="10"/>
        <v/>
      </c>
      <c r="E653" s="13"/>
      <c r="F653" s="13"/>
      <c r="G653" s="12"/>
      <c r="H653" s="14"/>
    </row>
    <row r="654" spans="1:8" ht="17.399999999999999" x14ac:dyDescent="0.25">
      <c r="A654" s="34" t="s">
        <v>326</v>
      </c>
      <c r="B654" s="35"/>
      <c r="C654" s="15">
        <v>1501.16</v>
      </c>
      <c r="D654" s="29">
        <f t="shared" si="10"/>
        <v>0.67619819819819826</v>
      </c>
      <c r="E654" s="10"/>
      <c r="F654" s="10"/>
      <c r="G654" s="15"/>
      <c r="H654" s="11"/>
    </row>
    <row r="655" spans="1:8" ht="17.399999999999999" x14ac:dyDescent="0.25">
      <c r="A655" s="32" t="s">
        <v>4</v>
      </c>
      <c r="B655" s="33"/>
      <c r="C655" s="16">
        <v>2220</v>
      </c>
      <c r="D655" s="30" t="str">
        <f t="shared" si="10"/>
        <v/>
      </c>
      <c r="E655" s="13"/>
      <c r="F655" s="13"/>
      <c r="G655" s="16"/>
      <c r="H655" s="14"/>
    </row>
    <row r="656" spans="1:8" ht="17.399999999999999" x14ac:dyDescent="0.25">
      <c r="A656" s="34" t="s">
        <v>327</v>
      </c>
      <c r="B656" s="35"/>
      <c r="C656" s="9">
        <v>49.07</v>
      </c>
      <c r="D656" s="29">
        <f t="shared" si="10"/>
        <v>0.14019999999999999</v>
      </c>
      <c r="E656" s="10"/>
      <c r="F656" s="10"/>
      <c r="G656" s="9"/>
      <c r="H656" s="11"/>
    </row>
    <row r="657" spans="1:8" ht="17.399999999999999" x14ac:dyDescent="0.25">
      <c r="A657" s="32" t="s">
        <v>4</v>
      </c>
      <c r="B657" s="33"/>
      <c r="C657" s="12">
        <v>350</v>
      </c>
      <c r="D657" s="30" t="str">
        <f t="shared" si="10"/>
        <v/>
      </c>
      <c r="E657" s="13"/>
      <c r="F657" s="13"/>
      <c r="G657" s="12"/>
      <c r="H657" s="14"/>
    </row>
    <row r="658" spans="1:8" ht="17.399999999999999" x14ac:dyDescent="0.25">
      <c r="A658" s="34" t="s">
        <v>328</v>
      </c>
      <c r="B658" s="35"/>
      <c r="C658" s="9">
        <v>-8.02</v>
      </c>
      <c r="D658" s="29">
        <f t="shared" si="10"/>
        <v>0.80199999999999994</v>
      </c>
      <c r="E658" s="10"/>
      <c r="F658" s="10"/>
      <c r="G658" s="9"/>
      <c r="H658" s="11"/>
    </row>
    <row r="659" spans="1:8" ht="17.399999999999999" x14ac:dyDescent="0.25">
      <c r="A659" s="32" t="s">
        <v>4</v>
      </c>
      <c r="B659" s="33"/>
      <c r="C659" s="12">
        <v>-10</v>
      </c>
      <c r="D659" s="30" t="str">
        <f t="shared" si="10"/>
        <v/>
      </c>
      <c r="E659" s="13"/>
      <c r="F659" s="13"/>
      <c r="G659" s="12"/>
      <c r="H659" s="14"/>
    </row>
    <row r="660" spans="1:8" ht="17.399999999999999" x14ac:dyDescent="0.25">
      <c r="A660" s="34" t="s">
        <v>329</v>
      </c>
      <c r="B660" s="35"/>
      <c r="C660" s="9">
        <v>541.86</v>
      </c>
      <c r="D660" s="29">
        <f t="shared" si="10"/>
        <v>2.7093000000000003</v>
      </c>
      <c r="E660" s="10"/>
      <c r="F660" s="10"/>
      <c r="G660" s="9"/>
      <c r="H660" s="11"/>
    </row>
    <row r="661" spans="1:8" ht="17.399999999999999" x14ac:dyDescent="0.25">
      <c r="A661" s="32" t="s">
        <v>4</v>
      </c>
      <c r="B661" s="33"/>
      <c r="C661" s="12">
        <v>200</v>
      </c>
      <c r="D661" s="30" t="str">
        <f t="shared" si="10"/>
        <v/>
      </c>
      <c r="E661" s="13"/>
      <c r="F661" s="13"/>
      <c r="G661" s="12"/>
      <c r="H661" s="14"/>
    </row>
    <row r="662" spans="1:8" ht="17.399999999999999" x14ac:dyDescent="0.25">
      <c r="A662" s="34" t="s">
        <v>330</v>
      </c>
      <c r="B662" s="35"/>
      <c r="C662" s="15">
        <v>1153.92</v>
      </c>
      <c r="D662" s="29">
        <f t="shared" si="10"/>
        <v>3.8464</v>
      </c>
      <c r="E662" s="10"/>
      <c r="F662" s="10"/>
      <c r="G662" s="15"/>
      <c r="H662" s="11"/>
    </row>
    <row r="663" spans="1:8" ht="17.399999999999999" x14ac:dyDescent="0.25">
      <c r="A663" s="32" t="s">
        <v>4</v>
      </c>
      <c r="B663" s="33"/>
      <c r="C663" s="12">
        <v>300</v>
      </c>
      <c r="D663" s="30" t="str">
        <f t="shared" si="10"/>
        <v/>
      </c>
      <c r="E663" s="13"/>
      <c r="F663" s="13"/>
      <c r="G663" s="12"/>
      <c r="H663" s="14"/>
    </row>
    <row r="664" spans="1:8" ht="17.399999999999999" x14ac:dyDescent="0.25">
      <c r="A664" s="34" t="s">
        <v>331</v>
      </c>
      <c r="B664" s="35"/>
      <c r="C664" s="9">
        <v>54.72</v>
      </c>
      <c r="D664" s="29">
        <f t="shared" si="10"/>
        <v>6.84</v>
      </c>
      <c r="E664" s="10"/>
      <c r="F664" s="10"/>
      <c r="G664" s="9"/>
      <c r="H664" s="11"/>
    </row>
    <row r="665" spans="1:8" ht="17.399999999999999" x14ac:dyDescent="0.25">
      <c r="A665" s="32" t="s">
        <v>4</v>
      </c>
      <c r="B665" s="33"/>
      <c r="C665" s="12">
        <v>8</v>
      </c>
      <c r="D665" s="30" t="str">
        <f t="shared" si="10"/>
        <v/>
      </c>
      <c r="E665" s="13"/>
      <c r="F665" s="13"/>
      <c r="G665" s="12"/>
      <c r="H665" s="14"/>
    </row>
    <row r="666" spans="1:8" ht="17.399999999999999" x14ac:dyDescent="0.25">
      <c r="A666" s="34" t="s">
        <v>332</v>
      </c>
      <c r="B666" s="35"/>
      <c r="C666" s="15">
        <v>3501.6</v>
      </c>
      <c r="D666" s="29">
        <f t="shared" si="10"/>
        <v>14.292244897959183</v>
      </c>
      <c r="E666" s="10"/>
      <c r="F666" s="10"/>
      <c r="G666" s="15"/>
      <c r="H666" s="11"/>
    </row>
    <row r="667" spans="1:8" ht="17.399999999999999" x14ac:dyDescent="0.25">
      <c r="A667" s="32" t="s">
        <v>4</v>
      </c>
      <c r="B667" s="33"/>
      <c r="C667" s="12">
        <v>245</v>
      </c>
      <c r="D667" s="30" t="str">
        <f t="shared" si="10"/>
        <v/>
      </c>
      <c r="E667" s="13"/>
      <c r="F667" s="13"/>
      <c r="G667" s="12"/>
      <c r="H667" s="14"/>
    </row>
    <row r="668" spans="1:8" ht="17.399999999999999" x14ac:dyDescent="0.25">
      <c r="A668" s="34" t="s">
        <v>333</v>
      </c>
      <c r="B668" s="35"/>
      <c r="C668" s="15">
        <v>1244.47</v>
      </c>
      <c r="D668" s="29">
        <f t="shared" si="10"/>
        <v>8.2964666666666673</v>
      </c>
      <c r="E668" s="10"/>
      <c r="F668" s="10"/>
      <c r="G668" s="15"/>
      <c r="H668" s="11"/>
    </row>
    <row r="669" spans="1:8" ht="17.399999999999999" x14ac:dyDescent="0.25">
      <c r="A669" s="32" t="s">
        <v>4</v>
      </c>
      <c r="B669" s="33"/>
      <c r="C669" s="12">
        <v>150</v>
      </c>
      <c r="D669" s="30" t="str">
        <f t="shared" si="10"/>
        <v/>
      </c>
      <c r="E669" s="13"/>
      <c r="F669" s="13"/>
      <c r="G669" s="12"/>
      <c r="H669" s="14"/>
    </row>
    <row r="670" spans="1:8" ht="17.399999999999999" x14ac:dyDescent="0.25">
      <c r="A670" s="34" t="s">
        <v>334</v>
      </c>
      <c r="B670" s="35"/>
      <c r="C670" s="15">
        <v>4095.09</v>
      </c>
      <c r="D670" s="29">
        <f t="shared" si="10"/>
        <v>0.43334285714285714</v>
      </c>
      <c r="E670" s="10"/>
      <c r="F670" s="10"/>
      <c r="G670" s="15"/>
      <c r="H670" s="11"/>
    </row>
    <row r="671" spans="1:8" ht="17.399999999999999" x14ac:dyDescent="0.25">
      <c r="A671" s="32" t="s">
        <v>4</v>
      </c>
      <c r="B671" s="33"/>
      <c r="C671" s="16">
        <v>9450</v>
      </c>
      <c r="D671" s="30" t="str">
        <f t="shared" si="10"/>
        <v/>
      </c>
      <c r="E671" s="13"/>
      <c r="F671" s="13"/>
      <c r="G671" s="16"/>
      <c r="H671" s="14"/>
    </row>
    <row r="672" spans="1:8" ht="17.399999999999999" x14ac:dyDescent="0.25">
      <c r="A672" s="34" t="s">
        <v>335</v>
      </c>
      <c r="B672" s="35"/>
      <c r="C672" s="15">
        <v>17235.07</v>
      </c>
      <c r="D672" s="29">
        <f t="shared" si="10"/>
        <v>7.1812791666666662</v>
      </c>
      <c r="E672" s="10"/>
      <c r="F672" s="10"/>
      <c r="G672" s="15"/>
      <c r="H672" s="11"/>
    </row>
    <row r="673" spans="1:8" ht="17.399999999999999" x14ac:dyDescent="0.25">
      <c r="A673" s="32" t="s">
        <v>4</v>
      </c>
      <c r="B673" s="33"/>
      <c r="C673" s="16">
        <v>2400</v>
      </c>
      <c r="D673" s="30" t="str">
        <f t="shared" si="10"/>
        <v/>
      </c>
      <c r="E673" s="13"/>
      <c r="F673" s="13"/>
      <c r="G673" s="16"/>
      <c r="H673" s="14"/>
    </row>
    <row r="674" spans="1:8" ht="17.399999999999999" x14ac:dyDescent="0.25">
      <c r="A674" s="34" t="s">
        <v>336</v>
      </c>
      <c r="B674" s="35"/>
      <c r="C674" s="9">
        <v>64.8</v>
      </c>
      <c r="D674" s="29">
        <f t="shared" si="10"/>
        <v>1.3499999999999999</v>
      </c>
      <c r="E674" s="10"/>
      <c r="F674" s="10"/>
      <c r="G674" s="9"/>
      <c r="H674" s="11"/>
    </row>
    <row r="675" spans="1:8" ht="17.399999999999999" x14ac:dyDescent="0.25">
      <c r="A675" s="32" t="s">
        <v>4</v>
      </c>
      <c r="B675" s="33"/>
      <c r="C675" s="12">
        <v>48</v>
      </c>
      <c r="D675" s="30" t="str">
        <f t="shared" si="10"/>
        <v/>
      </c>
      <c r="E675" s="13"/>
      <c r="F675" s="13"/>
      <c r="G675" s="12"/>
      <c r="H675" s="14"/>
    </row>
    <row r="676" spans="1:8" ht="17.399999999999999" x14ac:dyDescent="0.25">
      <c r="A676" s="34" t="s">
        <v>337</v>
      </c>
      <c r="B676" s="35"/>
      <c r="C676" s="9">
        <v>745.2</v>
      </c>
      <c r="D676" s="29">
        <f t="shared" si="10"/>
        <v>2.8661538461538463</v>
      </c>
      <c r="E676" s="10"/>
      <c r="F676" s="10"/>
      <c r="G676" s="9"/>
      <c r="H676" s="11"/>
    </row>
    <row r="677" spans="1:8" ht="17.399999999999999" x14ac:dyDescent="0.25">
      <c r="A677" s="32" t="s">
        <v>4</v>
      </c>
      <c r="B677" s="33"/>
      <c r="C677" s="12">
        <v>260</v>
      </c>
      <c r="D677" s="30" t="str">
        <f t="shared" si="10"/>
        <v/>
      </c>
      <c r="E677" s="13"/>
      <c r="F677" s="13"/>
      <c r="G677" s="12"/>
      <c r="H677" s="14"/>
    </row>
    <row r="678" spans="1:8" ht="17.399999999999999" x14ac:dyDescent="0.25">
      <c r="A678" s="34" t="s">
        <v>338</v>
      </c>
      <c r="B678" s="35"/>
      <c r="C678" s="9">
        <v>745.2</v>
      </c>
      <c r="D678" s="29">
        <f t="shared" si="10"/>
        <v>3.24</v>
      </c>
      <c r="E678" s="10"/>
      <c r="F678" s="10"/>
      <c r="G678" s="9"/>
      <c r="H678" s="11"/>
    </row>
    <row r="679" spans="1:8" ht="17.399999999999999" x14ac:dyDescent="0.25">
      <c r="A679" s="32" t="s">
        <v>4</v>
      </c>
      <c r="B679" s="33"/>
      <c r="C679" s="12">
        <v>230</v>
      </c>
      <c r="D679" s="30" t="str">
        <f t="shared" si="10"/>
        <v/>
      </c>
      <c r="E679" s="13"/>
      <c r="F679" s="13"/>
      <c r="G679" s="12"/>
      <c r="H679" s="14"/>
    </row>
    <row r="680" spans="1:8" ht="17.399999999999999" x14ac:dyDescent="0.25">
      <c r="A680" s="34" t="s">
        <v>339</v>
      </c>
      <c r="B680" s="35"/>
      <c r="C680" s="9">
        <v>21.85</v>
      </c>
      <c r="D680" s="29">
        <f t="shared" si="10"/>
        <v>2.1850000000000001</v>
      </c>
      <c r="E680" s="10"/>
      <c r="F680" s="10"/>
      <c r="G680" s="9"/>
      <c r="H680" s="11"/>
    </row>
    <row r="681" spans="1:8" ht="17.399999999999999" x14ac:dyDescent="0.25">
      <c r="A681" s="32" t="s">
        <v>4</v>
      </c>
      <c r="B681" s="33"/>
      <c r="C681" s="12">
        <v>10</v>
      </c>
      <c r="D681" s="30" t="str">
        <f t="shared" si="10"/>
        <v/>
      </c>
      <c r="E681" s="13"/>
      <c r="F681" s="13"/>
      <c r="G681" s="12"/>
      <c r="H681" s="14"/>
    </row>
    <row r="682" spans="1:8" ht="17.399999999999999" x14ac:dyDescent="0.25">
      <c r="A682" s="34" t="s">
        <v>340</v>
      </c>
      <c r="B682" s="35"/>
      <c r="C682" s="15">
        <v>1018.87</v>
      </c>
      <c r="D682" s="29">
        <f t="shared" si="10"/>
        <v>5.7239887640449441</v>
      </c>
      <c r="E682" s="10"/>
      <c r="F682" s="10"/>
      <c r="G682" s="15"/>
      <c r="H682" s="11"/>
    </row>
    <row r="683" spans="1:8" ht="17.399999999999999" x14ac:dyDescent="0.25">
      <c r="A683" s="32" t="s">
        <v>4</v>
      </c>
      <c r="B683" s="33"/>
      <c r="C683" s="12">
        <v>178</v>
      </c>
      <c r="D683" s="30" t="str">
        <f t="shared" si="10"/>
        <v/>
      </c>
      <c r="E683" s="13"/>
      <c r="F683" s="13"/>
      <c r="G683" s="12"/>
      <c r="H683" s="14"/>
    </row>
    <row r="684" spans="1:8" ht="17.399999999999999" x14ac:dyDescent="0.25">
      <c r="A684" s="34" t="s">
        <v>341</v>
      </c>
      <c r="B684" s="35"/>
      <c r="C684" s="15">
        <v>4397.79</v>
      </c>
      <c r="D684" s="29">
        <f t="shared" si="10"/>
        <v>5.5527651515151515</v>
      </c>
      <c r="E684" s="10"/>
      <c r="F684" s="10"/>
      <c r="G684" s="15"/>
      <c r="H684" s="11"/>
    </row>
    <row r="685" spans="1:8" ht="17.399999999999999" x14ac:dyDescent="0.25">
      <c r="A685" s="32" t="s">
        <v>4</v>
      </c>
      <c r="B685" s="33"/>
      <c r="C685" s="12">
        <v>792</v>
      </c>
      <c r="D685" s="30" t="str">
        <f t="shared" si="10"/>
        <v/>
      </c>
      <c r="E685" s="13"/>
      <c r="F685" s="13"/>
      <c r="G685" s="12"/>
      <c r="H685" s="14"/>
    </row>
    <row r="686" spans="1:8" ht="17.399999999999999" x14ac:dyDescent="0.25">
      <c r="A686" s="34" t="s">
        <v>342</v>
      </c>
      <c r="B686" s="35"/>
      <c r="C686" s="9">
        <v>313.64999999999998</v>
      </c>
      <c r="D686" s="29">
        <f t="shared" si="10"/>
        <v>4.6124999999999998</v>
      </c>
      <c r="E686" s="10"/>
      <c r="F686" s="10"/>
      <c r="G686" s="9"/>
      <c r="H686" s="11"/>
    </row>
    <row r="687" spans="1:8" ht="17.399999999999999" x14ac:dyDescent="0.25">
      <c r="A687" s="32" t="s">
        <v>4</v>
      </c>
      <c r="B687" s="33"/>
      <c r="C687" s="12">
        <v>68</v>
      </c>
      <c r="D687" s="30" t="str">
        <f t="shared" si="10"/>
        <v/>
      </c>
      <c r="E687" s="13"/>
      <c r="F687" s="13"/>
      <c r="G687" s="12"/>
      <c r="H687" s="14"/>
    </row>
    <row r="688" spans="1:8" ht="17.399999999999999" x14ac:dyDescent="0.25">
      <c r="A688" s="34" t="s">
        <v>343</v>
      </c>
      <c r="B688" s="35"/>
      <c r="C688" s="15">
        <v>5582.87</v>
      </c>
      <c r="D688" s="29">
        <f t="shared" si="10"/>
        <v>7.8411095505617974</v>
      </c>
      <c r="E688" s="10"/>
      <c r="F688" s="10"/>
      <c r="G688" s="15"/>
      <c r="H688" s="11"/>
    </row>
    <row r="689" spans="1:8" ht="17.399999999999999" x14ac:dyDescent="0.25">
      <c r="A689" s="32" t="s">
        <v>4</v>
      </c>
      <c r="B689" s="33"/>
      <c r="C689" s="12">
        <v>712</v>
      </c>
      <c r="D689" s="30" t="str">
        <f t="shared" si="10"/>
        <v/>
      </c>
      <c r="E689" s="13"/>
      <c r="F689" s="13"/>
      <c r="G689" s="12"/>
      <c r="H689" s="14"/>
    </row>
    <row r="690" spans="1:8" ht="17.399999999999999" x14ac:dyDescent="0.25">
      <c r="A690" s="34" t="s">
        <v>344</v>
      </c>
      <c r="B690" s="35"/>
      <c r="C690" s="9">
        <v>304.16000000000003</v>
      </c>
      <c r="D690" s="29">
        <f t="shared" si="10"/>
        <v>4.6084848484848493</v>
      </c>
      <c r="E690" s="10"/>
      <c r="F690" s="10"/>
      <c r="G690" s="9"/>
      <c r="H690" s="11"/>
    </row>
    <row r="691" spans="1:8" ht="17.399999999999999" x14ac:dyDescent="0.25">
      <c r="A691" s="32" t="s">
        <v>4</v>
      </c>
      <c r="B691" s="33"/>
      <c r="C691" s="12">
        <v>66</v>
      </c>
      <c r="D691" s="30" t="str">
        <f t="shared" si="10"/>
        <v/>
      </c>
      <c r="E691" s="13"/>
      <c r="F691" s="13"/>
      <c r="G691" s="12"/>
      <c r="H691" s="14"/>
    </row>
    <row r="692" spans="1:8" ht="17.399999999999999" x14ac:dyDescent="0.25">
      <c r="A692" s="34" t="s">
        <v>345</v>
      </c>
      <c r="B692" s="35"/>
      <c r="C692" s="9">
        <v>217.6</v>
      </c>
      <c r="D692" s="29">
        <f t="shared" si="10"/>
        <v>6.8</v>
      </c>
      <c r="E692" s="10"/>
      <c r="F692" s="10"/>
      <c r="G692" s="9"/>
      <c r="H692" s="11"/>
    </row>
    <row r="693" spans="1:8" ht="17.399999999999999" x14ac:dyDescent="0.25">
      <c r="A693" s="32" t="s">
        <v>4</v>
      </c>
      <c r="B693" s="33"/>
      <c r="C693" s="12">
        <v>32</v>
      </c>
      <c r="D693" s="30" t="str">
        <f t="shared" si="10"/>
        <v/>
      </c>
      <c r="E693" s="13"/>
      <c r="F693" s="13"/>
      <c r="G693" s="12"/>
      <c r="H693" s="14"/>
    </row>
    <row r="694" spans="1:8" ht="17.399999999999999" x14ac:dyDescent="0.25">
      <c r="A694" s="34" t="s">
        <v>346</v>
      </c>
      <c r="B694" s="35"/>
      <c r="C694" s="15">
        <v>2288.94</v>
      </c>
      <c r="D694" s="29">
        <f t="shared" si="10"/>
        <v>3.0931621621621623</v>
      </c>
      <c r="E694" s="10"/>
      <c r="F694" s="10"/>
      <c r="G694" s="15"/>
      <c r="H694" s="11"/>
    </row>
    <row r="695" spans="1:8" ht="17.399999999999999" x14ac:dyDescent="0.25">
      <c r="A695" s="32" t="s">
        <v>4</v>
      </c>
      <c r="B695" s="33"/>
      <c r="C695" s="12">
        <v>740</v>
      </c>
      <c r="D695" s="30" t="str">
        <f t="shared" si="10"/>
        <v/>
      </c>
      <c r="E695" s="13"/>
      <c r="F695" s="13"/>
      <c r="G695" s="12"/>
      <c r="H695" s="14"/>
    </row>
    <row r="696" spans="1:8" ht="17.399999999999999" x14ac:dyDescent="0.25">
      <c r="A696" s="34" t="s">
        <v>347</v>
      </c>
      <c r="B696" s="35"/>
      <c r="C696" s="15">
        <v>2152.35</v>
      </c>
      <c r="D696" s="29">
        <f t="shared" si="10"/>
        <v>1.7642213114754097</v>
      </c>
      <c r="E696" s="10"/>
      <c r="F696" s="10"/>
      <c r="G696" s="15"/>
      <c r="H696" s="11"/>
    </row>
    <row r="697" spans="1:8" ht="17.399999999999999" x14ac:dyDescent="0.25">
      <c r="A697" s="32" t="s">
        <v>4</v>
      </c>
      <c r="B697" s="33"/>
      <c r="C697" s="16">
        <v>1220</v>
      </c>
      <c r="D697" s="30" t="str">
        <f t="shared" si="10"/>
        <v/>
      </c>
      <c r="E697" s="13"/>
      <c r="F697" s="13"/>
      <c r="G697" s="16"/>
      <c r="H697" s="14"/>
    </row>
    <row r="698" spans="1:8" ht="17.399999999999999" x14ac:dyDescent="0.25">
      <c r="A698" s="34" t="s">
        <v>348</v>
      </c>
      <c r="B698" s="35"/>
      <c r="C698" s="15">
        <v>3717.07</v>
      </c>
      <c r="D698" s="29">
        <f t="shared" si="10"/>
        <v>23.675605095541403</v>
      </c>
      <c r="E698" s="10"/>
      <c r="F698" s="10"/>
      <c r="G698" s="15"/>
      <c r="H698" s="11"/>
    </row>
    <row r="699" spans="1:8" ht="17.399999999999999" x14ac:dyDescent="0.25">
      <c r="A699" s="32" t="s">
        <v>4</v>
      </c>
      <c r="B699" s="33"/>
      <c r="C699" s="12">
        <v>157</v>
      </c>
      <c r="D699" s="30" t="str">
        <f t="shared" si="10"/>
        <v/>
      </c>
      <c r="E699" s="13"/>
      <c r="F699" s="13"/>
      <c r="G699" s="12"/>
      <c r="H699" s="14"/>
    </row>
    <row r="700" spans="1:8" ht="17.399999999999999" x14ac:dyDescent="0.25">
      <c r="A700" s="34" t="s">
        <v>349</v>
      </c>
      <c r="B700" s="35"/>
      <c r="C700" s="15">
        <v>3436.77</v>
      </c>
      <c r="D700" s="29">
        <f t="shared" si="10"/>
        <v>25.457555555555555</v>
      </c>
      <c r="E700" s="10"/>
      <c r="F700" s="10"/>
      <c r="G700" s="15"/>
      <c r="H700" s="11"/>
    </row>
    <row r="701" spans="1:8" ht="17.399999999999999" x14ac:dyDescent="0.25">
      <c r="A701" s="32" t="s">
        <v>4</v>
      </c>
      <c r="B701" s="33"/>
      <c r="C701" s="12">
        <v>135</v>
      </c>
      <c r="D701" s="30" t="str">
        <f t="shared" si="10"/>
        <v/>
      </c>
      <c r="E701" s="13"/>
      <c r="F701" s="13"/>
      <c r="G701" s="12"/>
      <c r="H701" s="14"/>
    </row>
    <row r="702" spans="1:8" ht="17.399999999999999" x14ac:dyDescent="0.25">
      <c r="A702" s="34" t="s">
        <v>350</v>
      </c>
      <c r="B702" s="35"/>
      <c r="C702" s="15">
        <v>14663.58</v>
      </c>
      <c r="D702" s="29">
        <f t="shared" si="10"/>
        <v>24.439299999999999</v>
      </c>
      <c r="E702" s="10"/>
      <c r="F702" s="10"/>
      <c r="G702" s="15"/>
      <c r="H702" s="11"/>
    </row>
    <row r="703" spans="1:8" ht="17.399999999999999" x14ac:dyDescent="0.25">
      <c r="A703" s="32" t="s">
        <v>4</v>
      </c>
      <c r="B703" s="33"/>
      <c r="C703" s="12">
        <v>600</v>
      </c>
      <c r="D703" s="30" t="str">
        <f t="shared" si="10"/>
        <v/>
      </c>
      <c r="E703" s="13"/>
      <c r="F703" s="13"/>
      <c r="G703" s="12"/>
      <c r="H703" s="14"/>
    </row>
    <row r="704" spans="1:8" ht="17.399999999999999" x14ac:dyDescent="0.25">
      <c r="A704" s="34" t="s">
        <v>351</v>
      </c>
      <c r="B704" s="35"/>
      <c r="C704" s="9">
        <v>24.59</v>
      </c>
      <c r="D704" s="29">
        <f t="shared" si="10"/>
        <v>0.49180000000000001</v>
      </c>
      <c r="E704" s="10"/>
      <c r="F704" s="10"/>
      <c r="G704" s="9"/>
      <c r="H704" s="11"/>
    </row>
    <row r="705" spans="1:8" ht="17.399999999999999" x14ac:dyDescent="0.25">
      <c r="A705" s="32" t="s">
        <v>4</v>
      </c>
      <c r="B705" s="33"/>
      <c r="C705" s="12">
        <v>50</v>
      </c>
      <c r="D705" s="30" t="str">
        <f t="shared" si="10"/>
        <v/>
      </c>
      <c r="E705" s="13"/>
      <c r="F705" s="13"/>
      <c r="G705" s="12"/>
      <c r="H705" s="14"/>
    </row>
    <row r="706" spans="1:8" ht="17.399999999999999" x14ac:dyDescent="0.25">
      <c r="A706" s="34" t="s">
        <v>352</v>
      </c>
      <c r="B706" s="35"/>
      <c r="C706" s="9">
        <v>122.95</v>
      </c>
      <c r="D706" s="29">
        <f t="shared" si="10"/>
        <v>0.49180000000000001</v>
      </c>
      <c r="E706" s="10"/>
      <c r="F706" s="10"/>
      <c r="G706" s="9"/>
      <c r="H706" s="11"/>
    </row>
    <row r="707" spans="1:8" ht="17.399999999999999" x14ac:dyDescent="0.25">
      <c r="A707" s="32" t="s">
        <v>4</v>
      </c>
      <c r="B707" s="33"/>
      <c r="C707" s="12">
        <v>250</v>
      </c>
      <c r="D707" s="30" t="str">
        <f t="shared" si="10"/>
        <v/>
      </c>
      <c r="E707" s="13"/>
      <c r="F707" s="13"/>
      <c r="G707" s="12"/>
      <c r="H707" s="14"/>
    </row>
    <row r="708" spans="1:8" ht="17.399999999999999" x14ac:dyDescent="0.25">
      <c r="A708" s="34" t="s">
        <v>353</v>
      </c>
      <c r="B708" s="35"/>
      <c r="C708" s="9">
        <v>70.63</v>
      </c>
      <c r="D708" s="29">
        <f t="shared" si="10"/>
        <v>3.5314999999999999</v>
      </c>
      <c r="E708" s="10"/>
      <c r="F708" s="10"/>
      <c r="G708" s="9"/>
      <c r="H708" s="11"/>
    </row>
    <row r="709" spans="1:8" ht="17.399999999999999" x14ac:dyDescent="0.25">
      <c r="A709" s="32" t="s">
        <v>4</v>
      </c>
      <c r="B709" s="33"/>
      <c r="C709" s="12">
        <v>20</v>
      </c>
      <c r="D709" s="30" t="str">
        <f t="shared" si="10"/>
        <v/>
      </c>
      <c r="E709" s="13"/>
      <c r="F709" s="13"/>
      <c r="G709" s="12"/>
      <c r="H709" s="14"/>
    </row>
    <row r="710" spans="1:8" ht="17.399999999999999" x14ac:dyDescent="0.25">
      <c r="A710" s="34" t="s">
        <v>354</v>
      </c>
      <c r="B710" s="35"/>
      <c r="C710" s="9">
        <v>220.11</v>
      </c>
      <c r="D710" s="29">
        <f t="shared" si="10"/>
        <v>11.005500000000001</v>
      </c>
      <c r="E710" s="10"/>
      <c r="F710" s="10"/>
      <c r="G710" s="9"/>
      <c r="H710" s="11"/>
    </row>
    <row r="711" spans="1:8" ht="17.399999999999999" x14ac:dyDescent="0.25">
      <c r="A711" s="32" t="s">
        <v>4</v>
      </c>
      <c r="B711" s="33"/>
      <c r="C711" s="12">
        <v>20</v>
      </c>
      <c r="D711" s="30" t="str">
        <f t="shared" si="10"/>
        <v/>
      </c>
      <c r="E711" s="13"/>
      <c r="F711" s="13"/>
      <c r="G711" s="12"/>
      <c r="H711" s="14"/>
    </row>
    <row r="712" spans="1:8" ht="17.399999999999999" x14ac:dyDescent="0.25">
      <c r="A712" s="34" t="s">
        <v>355</v>
      </c>
      <c r="B712" s="35"/>
      <c r="C712" s="9">
        <v>392.19</v>
      </c>
      <c r="D712" s="29">
        <f t="shared" si="10"/>
        <v>1.1672321428571428</v>
      </c>
      <c r="E712" s="10"/>
      <c r="F712" s="10"/>
      <c r="G712" s="9"/>
      <c r="H712" s="11"/>
    </row>
    <row r="713" spans="1:8" ht="17.399999999999999" x14ac:dyDescent="0.25">
      <c r="A713" s="32" t="s">
        <v>4</v>
      </c>
      <c r="B713" s="33"/>
      <c r="C713" s="12">
        <v>336</v>
      </c>
      <c r="D713" s="30" t="str">
        <f t="shared" si="10"/>
        <v/>
      </c>
      <c r="E713" s="13"/>
      <c r="F713" s="13"/>
      <c r="G713" s="12"/>
      <c r="H713" s="14"/>
    </row>
    <row r="714" spans="1:8" ht="17.399999999999999" x14ac:dyDescent="0.25">
      <c r="A714" s="34" t="s">
        <v>356</v>
      </c>
      <c r="B714" s="35"/>
      <c r="C714" s="15">
        <v>6648.45</v>
      </c>
      <c r="D714" s="29">
        <f t="shared" ref="D714:D777" si="11">IF($A715="Кол-во",IFERROR($C714/$C715,""),"")</f>
        <v>32.431463414634145</v>
      </c>
      <c r="E714" s="10"/>
      <c r="F714" s="10"/>
      <c r="G714" s="15"/>
      <c r="H714" s="11"/>
    </row>
    <row r="715" spans="1:8" ht="17.399999999999999" x14ac:dyDescent="0.25">
      <c r="A715" s="32" t="s">
        <v>4</v>
      </c>
      <c r="B715" s="33"/>
      <c r="C715" s="12">
        <v>205</v>
      </c>
      <c r="D715" s="30" t="str">
        <f t="shared" si="11"/>
        <v/>
      </c>
      <c r="E715" s="13"/>
      <c r="F715" s="13"/>
      <c r="G715" s="12"/>
      <c r="H715" s="14"/>
    </row>
    <row r="716" spans="1:8" ht="17.399999999999999" x14ac:dyDescent="0.25">
      <c r="A716" s="34" t="s">
        <v>357</v>
      </c>
      <c r="B716" s="35"/>
      <c r="C716" s="15">
        <v>25865.21</v>
      </c>
      <c r="D716" s="29">
        <f t="shared" si="11"/>
        <v>28.803129175946548</v>
      </c>
      <c r="E716" s="10"/>
      <c r="F716" s="10"/>
      <c r="G716" s="15"/>
      <c r="H716" s="11"/>
    </row>
    <row r="717" spans="1:8" ht="17.399999999999999" x14ac:dyDescent="0.25">
      <c r="A717" s="32" t="s">
        <v>4</v>
      </c>
      <c r="B717" s="33"/>
      <c r="C717" s="12">
        <v>898</v>
      </c>
      <c r="D717" s="30" t="str">
        <f t="shared" si="11"/>
        <v/>
      </c>
      <c r="E717" s="13"/>
      <c r="F717" s="13"/>
      <c r="G717" s="12"/>
      <c r="H717" s="14"/>
    </row>
    <row r="718" spans="1:8" ht="17.399999999999999" x14ac:dyDescent="0.25">
      <c r="A718" s="34" t="s">
        <v>358</v>
      </c>
      <c r="B718" s="35"/>
      <c r="C718" s="15">
        <v>7548.73</v>
      </c>
      <c r="D718" s="29">
        <f t="shared" si="11"/>
        <v>102.00986486486485</v>
      </c>
      <c r="E718" s="10">
        <f>C718/C719</f>
        <v>102.00986486486485</v>
      </c>
      <c r="F718" s="10"/>
      <c r="G718" s="15"/>
      <c r="H718" s="11"/>
    </row>
    <row r="719" spans="1:8" ht="17.399999999999999" x14ac:dyDescent="0.25">
      <c r="A719" s="32" t="s">
        <v>4</v>
      </c>
      <c r="B719" s="33"/>
      <c r="C719" s="12">
        <v>74</v>
      </c>
      <c r="D719" s="30" t="str">
        <f t="shared" si="11"/>
        <v/>
      </c>
      <c r="E719" s="13"/>
      <c r="F719" s="13"/>
      <c r="G719" s="12"/>
      <c r="H719" s="14"/>
    </row>
    <row r="720" spans="1:8" ht="17.399999999999999" x14ac:dyDescent="0.25">
      <c r="A720" s="34" t="s">
        <v>359</v>
      </c>
      <c r="B720" s="35"/>
      <c r="C720" s="15">
        <v>1258.74</v>
      </c>
      <c r="D720" s="29">
        <f t="shared" si="11"/>
        <v>4.1958000000000002</v>
      </c>
      <c r="E720" s="10"/>
      <c r="F720" s="10"/>
      <c r="G720" s="15"/>
      <c r="H720" s="11"/>
    </row>
    <row r="721" spans="1:8" ht="17.399999999999999" x14ac:dyDescent="0.25">
      <c r="A721" s="32" t="s">
        <v>4</v>
      </c>
      <c r="B721" s="33"/>
      <c r="C721" s="12">
        <v>300</v>
      </c>
      <c r="D721" s="30" t="str">
        <f t="shared" si="11"/>
        <v/>
      </c>
      <c r="E721" s="13"/>
      <c r="F721" s="13"/>
      <c r="G721" s="12"/>
      <c r="H721" s="14"/>
    </row>
    <row r="722" spans="1:8" ht="17.399999999999999" x14ac:dyDescent="0.25">
      <c r="A722" s="34" t="s">
        <v>360</v>
      </c>
      <c r="B722" s="35"/>
      <c r="C722" s="15">
        <v>16404.599999999999</v>
      </c>
      <c r="D722" s="29">
        <f t="shared" si="11"/>
        <v>3.797361111111111</v>
      </c>
      <c r="E722" s="10"/>
      <c r="F722" s="10"/>
      <c r="G722" s="15"/>
      <c r="H722" s="11"/>
    </row>
    <row r="723" spans="1:8" ht="17.399999999999999" x14ac:dyDescent="0.25">
      <c r="A723" s="32" t="s">
        <v>4</v>
      </c>
      <c r="B723" s="33"/>
      <c r="C723" s="16">
        <v>4320</v>
      </c>
      <c r="D723" s="30" t="str">
        <f t="shared" si="11"/>
        <v/>
      </c>
      <c r="E723" s="13"/>
      <c r="F723" s="13"/>
      <c r="G723" s="16"/>
      <c r="H723" s="14"/>
    </row>
    <row r="724" spans="1:8" ht="17.399999999999999" x14ac:dyDescent="0.25">
      <c r="A724" s="34" t="s">
        <v>361</v>
      </c>
      <c r="B724" s="35"/>
      <c r="C724" s="9">
        <v>125.76</v>
      </c>
      <c r="D724" s="29">
        <f t="shared" si="11"/>
        <v>25.152000000000001</v>
      </c>
      <c r="E724" s="10"/>
      <c r="F724" s="10"/>
      <c r="G724" s="9"/>
      <c r="H724" s="11"/>
    </row>
    <row r="725" spans="1:8" ht="17.399999999999999" x14ac:dyDescent="0.25">
      <c r="A725" s="32" t="s">
        <v>4</v>
      </c>
      <c r="B725" s="33"/>
      <c r="C725" s="12">
        <v>5</v>
      </c>
      <c r="D725" s="30" t="str">
        <f t="shared" si="11"/>
        <v/>
      </c>
      <c r="E725" s="13"/>
      <c r="F725" s="13"/>
      <c r="G725" s="12"/>
      <c r="H725" s="14"/>
    </row>
    <row r="726" spans="1:8" ht="17.399999999999999" x14ac:dyDescent="0.25">
      <c r="A726" s="34" t="s">
        <v>362</v>
      </c>
      <c r="B726" s="35"/>
      <c r="C726" s="9">
        <v>666.92</v>
      </c>
      <c r="D726" s="29">
        <f t="shared" si="11"/>
        <v>26.6768</v>
      </c>
      <c r="E726" s="10"/>
      <c r="F726" s="10"/>
      <c r="G726" s="9"/>
      <c r="H726" s="11"/>
    </row>
    <row r="727" spans="1:8" ht="17.399999999999999" x14ac:dyDescent="0.25">
      <c r="A727" s="32" t="s">
        <v>4</v>
      </c>
      <c r="B727" s="33"/>
      <c r="C727" s="12">
        <v>25</v>
      </c>
      <c r="D727" s="30" t="str">
        <f t="shared" si="11"/>
        <v/>
      </c>
      <c r="E727" s="13"/>
      <c r="F727" s="13"/>
      <c r="G727" s="12"/>
      <c r="H727" s="14"/>
    </row>
    <row r="728" spans="1:8" ht="17.399999999999999" x14ac:dyDescent="0.25">
      <c r="A728" s="34" t="s">
        <v>363</v>
      </c>
      <c r="B728" s="35"/>
      <c r="C728" s="9">
        <v>128.35</v>
      </c>
      <c r="D728" s="29">
        <f t="shared" si="11"/>
        <v>21.391666666666666</v>
      </c>
      <c r="E728" s="10"/>
      <c r="F728" s="10"/>
      <c r="G728" s="9"/>
      <c r="H728" s="11"/>
    </row>
    <row r="729" spans="1:8" ht="17.399999999999999" x14ac:dyDescent="0.25">
      <c r="A729" s="32" t="s">
        <v>4</v>
      </c>
      <c r="B729" s="33"/>
      <c r="C729" s="12">
        <v>6</v>
      </c>
      <c r="D729" s="30" t="str">
        <f t="shared" si="11"/>
        <v/>
      </c>
      <c r="E729" s="13"/>
      <c r="F729" s="13"/>
      <c r="G729" s="12"/>
      <c r="H729" s="14"/>
    </row>
    <row r="730" spans="1:8" ht="17.399999999999999" x14ac:dyDescent="0.25">
      <c r="A730" s="34" t="s">
        <v>364</v>
      </c>
      <c r="B730" s="35"/>
      <c r="C730" s="15">
        <v>4774.42</v>
      </c>
      <c r="D730" s="29">
        <f t="shared" si="11"/>
        <v>9.3616078431372554</v>
      </c>
      <c r="E730" s="10"/>
      <c r="F730" s="10"/>
      <c r="G730" s="15"/>
      <c r="H730" s="11"/>
    </row>
    <row r="731" spans="1:8" ht="17.399999999999999" x14ac:dyDescent="0.25">
      <c r="A731" s="32" t="s">
        <v>4</v>
      </c>
      <c r="B731" s="33"/>
      <c r="C731" s="12">
        <v>510</v>
      </c>
      <c r="D731" s="30" t="str">
        <f t="shared" si="11"/>
        <v/>
      </c>
      <c r="E731" s="13"/>
      <c r="F731" s="13"/>
      <c r="G731" s="12"/>
      <c r="H731" s="14"/>
    </row>
    <row r="732" spans="1:8" ht="17.399999999999999" x14ac:dyDescent="0.25">
      <c r="A732" s="34" t="s">
        <v>365</v>
      </c>
      <c r="B732" s="35"/>
      <c r="C732" s="15">
        <v>1011.96</v>
      </c>
      <c r="D732" s="29">
        <f t="shared" si="11"/>
        <v>11.244</v>
      </c>
      <c r="E732" s="10"/>
      <c r="F732" s="10"/>
      <c r="G732" s="15"/>
      <c r="H732" s="11"/>
    </row>
    <row r="733" spans="1:8" ht="17.399999999999999" x14ac:dyDescent="0.25">
      <c r="A733" s="32" t="s">
        <v>4</v>
      </c>
      <c r="B733" s="33"/>
      <c r="C733" s="12">
        <v>90</v>
      </c>
      <c r="D733" s="30" t="str">
        <f t="shared" si="11"/>
        <v/>
      </c>
      <c r="E733" s="13"/>
      <c r="F733" s="13"/>
      <c r="G733" s="12"/>
      <c r="H733" s="14"/>
    </row>
    <row r="734" spans="1:8" ht="17.399999999999999" x14ac:dyDescent="0.25">
      <c r="A734" s="34" t="s">
        <v>366</v>
      </c>
      <c r="B734" s="35"/>
      <c r="C734" s="9">
        <v>877.18</v>
      </c>
      <c r="D734" s="29">
        <f t="shared" si="11"/>
        <v>48.732222222222219</v>
      </c>
      <c r="E734" s="10"/>
      <c r="F734" s="10"/>
      <c r="G734" s="9"/>
      <c r="H734" s="11"/>
    </row>
    <row r="735" spans="1:8" ht="17.399999999999999" x14ac:dyDescent="0.25">
      <c r="A735" s="32" t="s">
        <v>4</v>
      </c>
      <c r="B735" s="33"/>
      <c r="C735" s="12">
        <v>18</v>
      </c>
      <c r="D735" s="30" t="str">
        <f t="shared" si="11"/>
        <v/>
      </c>
      <c r="E735" s="13"/>
      <c r="F735" s="13"/>
      <c r="G735" s="12"/>
      <c r="H735" s="14"/>
    </row>
    <row r="736" spans="1:8" ht="17.399999999999999" x14ac:dyDescent="0.25">
      <c r="A736" s="34" t="s">
        <v>367</v>
      </c>
      <c r="B736" s="35"/>
      <c r="C736" s="15">
        <v>1013.04</v>
      </c>
      <c r="D736" s="29">
        <f t="shared" si="11"/>
        <v>33.768000000000001</v>
      </c>
      <c r="E736" s="10"/>
      <c r="F736" s="10"/>
      <c r="G736" s="15"/>
      <c r="H736" s="11"/>
    </row>
    <row r="737" spans="1:8" ht="17.399999999999999" x14ac:dyDescent="0.25">
      <c r="A737" s="32" t="s">
        <v>4</v>
      </c>
      <c r="B737" s="33"/>
      <c r="C737" s="12">
        <v>30</v>
      </c>
      <c r="D737" s="30" t="str">
        <f t="shared" si="11"/>
        <v/>
      </c>
      <c r="E737" s="13"/>
      <c r="F737" s="13"/>
      <c r="G737" s="12"/>
      <c r="H737" s="14"/>
    </row>
    <row r="738" spans="1:8" ht="17.399999999999999" x14ac:dyDescent="0.25">
      <c r="A738" s="34" t="s">
        <v>368</v>
      </c>
      <c r="B738" s="35"/>
      <c r="C738" s="15">
        <v>10331.18</v>
      </c>
      <c r="D738" s="29">
        <f t="shared" si="11"/>
        <v>48.731981132075475</v>
      </c>
      <c r="E738" s="10"/>
      <c r="F738" s="10"/>
      <c r="G738" s="15"/>
      <c r="H738" s="11"/>
    </row>
    <row r="739" spans="1:8" ht="17.399999999999999" x14ac:dyDescent="0.25">
      <c r="A739" s="32" t="s">
        <v>4</v>
      </c>
      <c r="B739" s="33"/>
      <c r="C739" s="12">
        <v>212</v>
      </c>
      <c r="D739" s="30" t="str">
        <f t="shared" si="11"/>
        <v/>
      </c>
      <c r="E739" s="13"/>
      <c r="F739" s="13"/>
      <c r="G739" s="12"/>
      <c r="H739" s="14"/>
    </row>
    <row r="740" spans="1:8" ht="17.399999999999999" x14ac:dyDescent="0.25">
      <c r="A740" s="34" t="s">
        <v>369</v>
      </c>
      <c r="B740" s="35"/>
      <c r="C740" s="15">
        <v>4483.4399999999996</v>
      </c>
      <c r="D740" s="29">
        <f t="shared" si="11"/>
        <v>74.72399999999999</v>
      </c>
      <c r="E740" s="10"/>
      <c r="F740" s="10"/>
      <c r="G740" s="15"/>
      <c r="H740" s="11"/>
    </row>
    <row r="741" spans="1:8" ht="17.399999999999999" x14ac:dyDescent="0.25">
      <c r="A741" s="32" t="s">
        <v>4</v>
      </c>
      <c r="B741" s="33"/>
      <c r="C741" s="12">
        <v>60</v>
      </c>
      <c r="D741" s="30" t="str">
        <f t="shared" si="11"/>
        <v/>
      </c>
      <c r="E741" s="13"/>
      <c r="F741" s="13"/>
      <c r="G741" s="12"/>
      <c r="H741" s="14"/>
    </row>
    <row r="742" spans="1:8" ht="17.399999999999999" x14ac:dyDescent="0.25">
      <c r="A742" s="34" t="s">
        <v>370</v>
      </c>
      <c r="B742" s="35"/>
      <c r="C742" s="15">
        <v>16296.72</v>
      </c>
      <c r="D742" s="29">
        <f t="shared" si="11"/>
        <v>18.518999999999998</v>
      </c>
      <c r="E742" s="10"/>
      <c r="F742" s="10"/>
      <c r="G742" s="15"/>
      <c r="H742" s="11"/>
    </row>
    <row r="743" spans="1:8" ht="17.399999999999999" x14ac:dyDescent="0.25">
      <c r="A743" s="32" t="s">
        <v>4</v>
      </c>
      <c r="B743" s="33"/>
      <c r="C743" s="12">
        <v>880</v>
      </c>
      <c r="D743" s="30" t="str">
        <f t="shared" si="11"/>
        <v/>
      </c>
      <c r="E743" s="13"/>
      <c r="F743" s="13"/>
      <c r="G743" s="12"/>
      <c r="H743" s="14"/>
    </row>
    <row r="744" spans="1:8" ht="17.399999999999999" x14ac:dyDescent="0.25">
      <c r="A744" s="34" t="s">
        <v>371</v>
      </c>
      <c r="B744" s="35"/>
      <c r="C744" s="9">
        <v>396.72</v>
      </c>
      <c r="D744" s="29">
        <f t="shared" si="11"/>
        <v>19.836000000000002</v>
      </c>
      <c r="E744" s="10"/>
      <c r="F744" s="10"/>
      <c r="G744" s="9"/>
      <c r="H744" s="11"/>
    </row>
    <row r="745" spans="1:8" ht="17.399999999999999" x14ac:dyDescent="0.25">
      <c r="A745" s="32" t="s">
        <v>4</v>
      </c>
      <c r="B745" s="33"/>
      <c r="C745" s="12">
        <v>20</v>
      </c>
      <c r="D745" s="30" t="str">
        <f t="shared" si="11"/>
        <v/>
      </c>
      <c r="E745" s="13"/>
      <c r="F745" s="13"/>
      <c r="G745" s="12"/>
      <c r="H745" s="14"/>
    </row>
    <row r="746" spans="1:8" ht="17.399999999999999" x14ac:dyDescent="0.25">
      <c r="A746" s="34" t="s">
        <v>372</v>
      </c>
      <c r="B746" s="35"/>
      <c r="C746" s="15">
        <v>1660</v>
      </c>
      <c r="D746" s="29">
        <f t="shared" si="11"/>
        <v>83</v>
      </c>
      <c r="E746" s="10"/>
      <c r="F746" s="10"/>
      <c r="G746" s="15"/>
      <c r="H746" s="11"/>
    </row>
    <row r="747" spans="1:8" ht="17.399999999999999" x14ac:dyDescent="0.25">
      <c r="A747" s="32" t="s">
        <v>4</v>
      </c>
      <c r="B747" s="33"/>
      <c r="C747" s="12">
        <v>20</v>
      </c>
      <c r="D747" s="30" t="str">
        <f t="shared" si="11"/>
        <v/>
      </c>
      <c r="E747" s="13"/>
      <c r="F747" s="13"/>
      <c r="G747" s="12"/>
      <c r="H747" s="14"/>
    </row>
    <row r="748" spans="1:8" ht="17.399999999999999" x14ac:dyDescent="0.25">
      <c r="A748" s="34" t="s">
        <v>373</v>
      </c>
      <c r="B748" s="35"/>
      <c r="C748" s="9">
        <v>383.2</v>
      </c>
      <c r="D748" s="29">
        <f t="shared" si="11"/>
        <v>127.73333333333333</v>
      </c>
      <c r="E748" s="10"/>
      <c r="F748" s="10"/>
      <c r="G748" s="9"/>
      <c r="H748" s="11"/>
    </row>
    <row r="749" spans="1:8" ht="17.399999999999999" x14ac:dyDescent="0.25">
      <c r="A749" s="32" t="s">
        <v>4</v>
      </c>
      <c r="B749" s="33"/>
      <c r="C749" s="12">
        <v>3</v>
      </c>
      <c r="D749" s="30" t="str">
        <f t="shared" si="11"/>
        <v/>
      </c>
      <c r="E749" s="13"/>
      <c r="F749" s="13"/>
      <c r="G749" s="12"/>
      <c r="H749" s="14"/>
    </row>
    <row r="750" spans="1:8" ht="17.399999999999999" x14ac:dyDescent="0.25">
      <c r="A750" s="34" t="s">
        <v>374</v>
      </c>
      <c r="B750" s="35"/>
      <c r="C750" s="9">
        <v>928.31</v>
      </c>
      <c r="D750" s="29">
        <f t="shared" si="11"/>
        <v>19.339791666666667</v>
      </c>
      <c r="E750" s="10"/>
      <c r="F750" s="10"/>
      <c r="G750" s="9"/>
      <c r="H750" s="11"/>
    </row>
    <row r="751" spans="1:8" ht="17.399999999999999" x14ac:dyDescent="0.25">
      <c r="A751" s="32" t="s">
        <v>4</v>
      </c>
      <c r="B751" s="33"/>
      <c r="C751" s="12">
        <v>48</v>
      </c>
      <c r="D751" s="30" t="str">
        <f t="shared" si="11"/>
        <v/>
      </c>
      <c r="E751" s="13"/>
      <c r="F751" s="13"/>
      <c r="G751" s="12"/>
      <c r="H751" s="14"/>
    </row>
    <row r="752" spans="1:8" ht="17.399999999999999" x14ac:dyDescent="0.25">
      <c r="A752" s="34" t="s">
        <v>375</v>
      </c>
      <c r="B752" s="35"/>
      <c r="C752" s="9">
        <v>33</v>
      </c>
      <c r="D752" s="29">
        <f t="shared" si="11"/>
        <v>1.1000000000000001</v>
      </c>
      <c r="E752" s="10"/>
      <c r="F752" s="10"/>
      <c r="G752" s="9"/>
      <c r="H752" s="11"/>
    </row>
    <row r="753" spans="1:8" ht="17.399999999999999" x14ac:dyDescent="0.25">
      <c r="A753" s="32" t="s">
        <v>4</v>
      </c>
      <c r="B753" s="33"/>
      <c r="C753" s="12">
        <v>30</v>
      </c>
      <c r="D753" s="30" t="str">
        <f t="shared" si="11"/>
        <v/>
      </c>
      <c r="E753" s="13"/>
      <c r="F753" s="13"/>
      <c r="G753" s="12"/>
      <c r="H753" s="14"/>
    </row>
    <row r="754" spans="1:8" ht="17.399999999999999" x14ac:dyDescent="0.25">
      <c r="A754" s="34" t="s">
        <v>376</v>
      </c>
      <c r="B754" s="35"/>
      <c r="C754" s="9">
        <v>27.54</v>
      </c>
      <c r="D754" s="29">
        <f t="shared" si="11"/>
        <v>0.18359999999999999</v>
      </c>
      <c r="E754" s="10"/>
      <c r="F754" s="10"/>
      <c r="G754" s="9"/>
      <c r="H754" s="11"/>
    </row>
    <row r="755" spans="1:8" ht="17.399999999999999" x14ac:dyDescent="0.25">
      <c r="A755" s="32" t="s">
        <v>4</v>
      </c>
      <c r="B755" s="33"/>
      <c r="C755" s="12">
        <v>150</v>
      </c>
      <c r="D755" s="30" t="str">
        <f t="shared" si="11"/>
        <v/>
      </c>
      <c r="E755" s="13"/>
      <c r="F755" s="13"/>
      <c r="G755" s="12"/>
      <c r="H755" s="14"/>
    </row>
    <row r="756" spans="1:8" ht="17.399999999999999" x14ac:dyDescent="0.25">
      <c r="A756" s="34" t="s">
        <v>377</v>
      </c>
      <c r="B756" s="35"/>
      <c r="C756" s="9">
        <v>91.75</v>
      </c>
      <c r="D756" s="29">
        <f t="shared" si="11"/>
        <v>4.5875000000000004</v>
      </c>
      <c r="E756" s="10"/>
      <c r="F756" s="10"/>
      <c r="G756" s="9"/>
      <c r="H756" s="11"/>
    </row>
    <row r="757" spans="1:8" ht="17.399999999999999" x14ac:dyDescent="0.25">
      <c r="A757" s="32" t="s">
        <v>4</v>
      </c>
      <c r="B757" s="33"/>
      <c r="C757" s="12">
        <v>20</v>
      </c>
      <c r="D757" s="30" t="str">
        <f t="shared" si="11"/>
        <v/>
      </c>
      <c r="E757" s="13"/>
      <c r="F757" s="13"/>
      <c r="G757" s="12"/>
      <c r="H757" s="14"/>
    </row>
    <row r="758" spans="1:8" ht="17.399999999999999" x14ac:dyDescent="0.25">
      <c r="A758" s="34" t="s">
        <v>378</v>
      </c>
      <c r="B758" s="35"/>
      <c r="C758" s="9">
        <v>581.34</v>
      </c>
      <c r="D758" s="29">
        <f t="shared" si="11"/>
        <v>0.41229787234042553</v>
      </c>
      <c r="E758" s="10"/>
      <c r="F758" s="10"/>
      <c r="G758" s="9"/>
      <c r="H758" s="11"/>
    </row>
    <row r="759" spans="1:8" ht="17.399999999999999" x14ac:dyDescent="0.25">
      <c r="A759" s="32" t="s">
        <v>4</v>
      </c>
      <c r="B759" s="33"/>
      <c r="C759" s="16">
        <v>1410</v>
      </c>
      <c r="D759" s="30" t="str">
        <f t="shared" si="11"/>
        <v/>
      </c>
      <c r="E759" s="13"/>
      <c r="F759" s="13"/>
      <c r="G759" s="16"/>
      <c r="H759" s="14"/>
    </row>
    <row r="760" spans="1:8" ht="17.399999999999999" x14ac:dyDescent="0.25">
      <c r="A760" s="34" t="s">
        <v>379</v>
      </c>
      <c r="B760" s="35"/>
      <c r="C760" s="15">
        <v>2643.84</v>
      </c>
      <c r="D760" s="29">
        <f t="shared" si="11"/>
        <v>0.8640000000000001</v>
      </c>
      <c r="E760" s="10"/>
      <c r="F760" s="10"/>
      <c r="G760" s="15"/>
      <c r="H760" s="11"/>
    </row>
    <row r="761" spans="1:8" ht="17.399999999999999" x14ac:dyDescent="0.25">
      <c r="A761" s="32" t="s">
        <v>4</v>
      </c>
      <c r="B761" s="33"/>
      <c r="C761" s="16">
        <v>3060</v>
      </c>
      <c r="D761" s="30" t="str">
        <f t="shared" si="11"/>
        <v/>
      </c>
      <c r="E761" s="13"/>
      <c r="F761" s="13"/>
      <c r="G761" s="16"/>
      <c r="H761" s="14"/>
    </row>
    <row r="762" spans="1:8" ht="17.399999999999999" x14ac:dyDescent="0.25">
      <c r="A762" s="34" t="s">
        <v>380</v>
      </c>
      <c r="B762" s="35"/>
      <c r="C762" s="9">
        <v>941.94</v>
      </c>
      <c r="D762" s="29">
        <f t="shared" si="11"/>
        <v>12.559200000000001</v>
      </c>
      <c r="E762" s="10"/>
      <c r="F762" s="10"/>
      <c r="G762" s="9"/>
      <c r="H762" s="11"/>
    </row>
    <row r="763" spans="1:8" ht="17.399999999999999" x14ac:dyDescent="0.25">
      <c r="A763" s="32" t="s">
        <v>4</v>
      </c>
      <c r="B763" s="33"/>
      <c r="C763" s="12">
        <v>75</v>
      </c>
      <c r="D763" s="30" t="str">
        <f t="shared" si="11"/>
        <v/>
      </c>
      <c r="E763" s="13"/>
      <c r="F763" s="13"/>
      <c r="G763" s="12"/>
      <c r="H763" s="14"/>
    </row>
    <row r="764" spans="1:8" ht="17.399999999999999" x14ac:dyDescent="0.25">
      <c r="A764" s="34" t="s">
        <v>381</v>
      </c>
      <c r="B764" s="35"/>
      <c r="C764" s="9">
        <v>341.82</v>
      </c>
      <c r="D764" s="29">
        <f t="shared" si="11"/>
        <v>22.788</v>
      </c>
      <c r="E764" s="10"/>
      <c r="F764" s="10"/>
      <c r="G764" s="9"/>
      <c r="H764" s="11"/>
    </row>
    <row r="765" spans="1:8" ht="17.399999999999999" x14ac:dyDescent="0.25">
      <c r="A765" s="32" t="s">
        <v>4</v>
      </c>
      <c r="B765" s="33"/>
      <c r="C765" s="12">
        <v>15</v>
      </c>
      <c r="D765" s="30" t="str">
        <f t="shared" si="11"/>
        <v/>
      </c>
      <c r="E765" s="13"/>
      <c r="F765" s="13"/>
      <c r="G765" s="12"/>
      <c r="H765" s="14"/>
    </row>
    <row r="766" spans="1:8" ht="17.399999999999999" x14ac:dyDescent="0.25">
      <c r="A766" s="34" t="s">
        <v>382</v>
      </c>
      <c r="B766" s="35"/>
      <c r="C766" s="15">
        <v>1036.17</v>
      </c>
      <c r="D766" s="29">
        <f t="shared" si="11"/>
        <v>6.9078000000000008</v>
      </c>
      <c r="E766" s="10"/>
      <c r="F766" s="10"/>
      <c r="G766" s="15"/>
      <c r="H766" s="11"/>
    </row>
    <row r="767" spans="1:8" ht="17.399999999999999" x14ac:dyDescent="0.25">
      <c r="A767" s="32" t="s">
        <v>4</v>
      </c>
      <c r="B767" s="33"/>
      <c r="C767" s="12">
        <v>150</v>
      </c>
      <c r="D767" s="30" t="str">
        <f t="shared" si="11"/>
        <v/>
      </c>
      <c r="E767" s="13"/>
      <c r="F767" s="13"/>
      <c r="G767" s="12"/>
      <c r="H767" s="14"/>
    </row>
    <row r="768" spans="1:8" ht="17.399999999999999" x14ac:dyDescent="0.25">
      <c r="A768" s="34" t="s">
        <v>383</v>
      </c>
      <c r="B768" s="35"/>
      <c r="C768" s="15">
        <v>1037.8800000000001</v>
      </c>
      <c r="D768" s="29">
        <f t="shared" si="11"/>
        <v>69.192000000000007</v>
      </c>
      <c r="E768" s="10"/>
      <c r="F768" s="10"/>
      <c r="G768" s="15"/>
      <c r="H768" s="11"/>
    </row>
    <row r="769" spans="1:8" ht="17.399999999999999" x14ac:dyDescent="0.25">
      <c r="A769" s="32" t="s">
        <v>4</v>
      </c>
      <c r="B769" s="33"/>
      <c r="C769" s="12">
        <v>15</v>
      </c>
      <c r="D769" s="30" t="str">
        <f t="shared" si="11"/>
        <v/>
      </c>
      <c r="E769" s="13"/>
      <c r="F769" s="13"/>
      <c r="G769" s="12"/>
      <c r="H769" s="14"/>
    </row>
    <row r="770" spans="1:8" ht="17.399999999999999" x14ac:dyDescent="0.25">
      <c r="A770" s="34" t="s">
        <v>384</v>
      </c>
      <c r="B770" s="35"/>
      <c r="C770" s="9">
        <v>837.67</v>
      </c>
      <c r="D770" s="29">
        <f t="shared" si="11"/>
        <v>1.8614888888888887</v>
      </c>
      <c r="E770" s="10"/>
      <c r="F770" s="10"/>
      <c r="G770" s="9"/>
      <c r="H770" s="11"/>
    </row>
    <row r="771" spans="1:8" ht="17.399999999999999" x14ac:dyDescent="0.25">
      <c r="A771" s="32" t="s">
        <v>4</v>
      </c>
      <c r="B771" s="33"/>
      <c r="C771" s="12">
        <v>450</v>
      </c>
      <c r="D771" s="30" t="str">
        <f t="shared" si="11"/>
        <v/>
      </c>
      <c r="E771" s="13"/>
      <c r="F771" s="13"/>
      <c r="G771" s="12"/>
      <c r="H771" s="14"/>
    </row>
    <row r="772" spans="1:8" ht="17.399999999999999" x14ac:dyDescent="0.25">
      <c r="A772" s="34" t="s">
        <v>385</v>
      </c>
      <c r="B772" s="35"/>
      <c r="C772" s="15">
        <v>378000</v>
      </c>
      <c r="D772" s="29">
        <f t="shared" si="11"/>
        <v>4200</v>
      </c>
      <c r="E772" s="10"/>
      <c r="F772" s="10"/>
      <c r="G772" s="15"/>
      <c r="H772" s="11"/>
    </row>
    <row r="773" spans="1:8" ht="17.399999999999999" x14ac:dyDescent="0.25">
      <c r="A773" s="32" t="s">
        <v>4</v>
      </c>
      <c r="B773" s="33"/>
      <c r="C773" s="12">
        <v>90</v>
      </c>
      <c r="D773" s="30" t="str">
        <f t="shared" si="11"/>
        <v/>
      </c>
      <c r="E773" s="13"/>
      <c r="F773" s="13"/>
      <c r="G773" s="12"/>
      <c r="H773" s="14"/>
    </row>
    <row r="774" spans="1:8" ht="17.399999999999999" x14ac:dyDescent="0.25">
      <c r="A774" s="34" t="s">
        <v>386</v>
      </c>
      <c r="B774" s="35"/>
      <c r="C774" s="15">
        <v>92520</v>
      </c>
      <c r="D774" s="29">
        <f t="shared" si="11"/>
        <v>3558.4615384615386</v>
      </c>
      <c r="E774" s="10"/>
      <c r="F774" s="10"/>
      <c r="G774" s="15"/>
      <c r="H774" s="11"/>
    </row>
    <row r="775" spans="1:8" ht="17.399999999999999" x14ac:dyDescent="0.25">
      <c r="A775" s="32" t="s">
        <v>4</v>
      </c>
      <c r="B775" s="33"/>
      <c r="C775" s="12">
        <v>26</v>
      </c>
      <c r="D775" s="30" t="str">
        <f t="shared" si="11"/>
        <v/>
      </c>
      <c r="E775" s="13"/>
      <c r="F775" s="13"/>
      <c r="G775" s="12"/>
      <c r="H775" s="14"/>
    </row>
    <row r="776" spans="1:8" ht="17.399999999999999" x14ac:dyDescent="0.25">
      <c r="A776" s="34" t="s">
        <v>387</v>
      </c>
      <c r="B776" s="35"/>
      <c r="C776" s="15">
        <v>15365.41</v>
      </c>
      <c r="D776" s="29">
        <f t="shared" si="11"/>
        <v>3073.0819999999999</v>
      </c>
      <c r="E776" s="10"/>
      <c r="F776" s="10"/>
      <c r="G776" s="15"/>
      <c r="H776" s="11"/>
    </row>
    <row r="777" spans="1:8" ht="17.399999999999999" x14ac:dyDescent="0.25">
      <c r="A777" s="32" t="s">
        <v>4</v>
      </c>
      <c r="B777" s="33"/>
      <c r="C777" s="12">
        <v>5</v>
      </c>
      <c r="D777" s="30" t="str">
        <f t="shared" si="11"/>
        <v/>
      </c>
      <c r="E777" s="13"/>
      <c r="F777" s="13"/>
      <c r="G777" s="12"/>
      <c r="H777" s="14"/>
    </row>
    <row r="778" spans="1:8" ht="17.399999999999999" x14ac:dyDescent="0.25">
      <c r="A778" s="34" t="s">
        <v>388</v>
      </c>
      <c r="B778" s="35"/>
      <c r="C778" s="15">
        <v>15365.41</v>
      </c>
      <c r="D778" s="29">
        <f t="shared" ref="D778:D841" si="12">IF($A779="Кол-во",IFERROR($C778/$C779,""),"")</f>
        <v>3073.0819999999999</v>
      </c>
      <c r="E778" s="10"/>
      <c r="F778" s="10"/>
      <c r="G778" s="15"/>
      <c r="H778" s="11"/>
    </row>
    <row r="779" spans="1:8" ht="17.399999999999999" x14ac:dyDescent="0.25">
      <c r="A779" s="32" t="s">
        <v>4</v>
      </c>
      <c r="B779" s="33"/>
      <c r="C779" s="12">
        <v>5</v>
      </c>
      <c r="D779" s="30" t="str">
        <f t="shared" si="12"/>
        <v/>
      </c>
      <c r="E779" s="13"/>
      <c r="F779" s="13"/>
      <c r="G779" s="12"/>
      <c r="H779" s="14"/>
    </row>
    <row r="780" spans="1:8" ht="17.399999999999999" x14ac:dyDescent="0.25">
      <c r="A780" s="34" t="s">
        <v>389</v>
      </c>
      <c r="B780" s="35"/>
      <c r="C780" s="9">
        <v>834.18</v>
      </c>
      <c r="D780" s="29">
        <f t="shared" si="12"/>
        <v>16.683599999999998</v>
      </c>
      <c r="E780" s="10"/>
      <c r="F780" s="10"/>
      <c r="G780" s="9"/>
      <c r="H780" s="11"/>
    </row>
    <row r="781" spans="1:8" ht="17.399999999999999" x14ac:dyDescent="0.25">
      <c r="A781" s="32" t="s">
        <v>4</v>
      </c>
      <c r="B781" s="33"/>
      <c r="C781" s="12">
        <v>50</v>
      </c>
      <c r="D781" s="30" t="str">
        <f t="shared" si="12"/>
        <v/>
      </c>
      <c r="E781" s="13"/>
      <c r="F781" s="13"/>
      <c r="G781" s="12"/>
      <c r="H781" s="14"/>
    </row>
    <row r="782" spans="1:8" ht="17.399999999999999" x14ac:dyDescent="0.25">
      <c r="A782" s="34" t="s">
        <v>390</v>
      </c>
      <c r="B782" s="35"/>
      <c r="C782" s="15">
        <v>5886.06</v>
      </c>
      <c r="D782" s="29">
        <f t="shared" si="12"/>
        <v>39.770675675675676</v>
      </c>
      <c r="E782" s="10"/>
      <c r="F782" s="10"/>
      <c r="G782" s="15"/>
      <c r="H782" s="11"/>
    </row>
    <row r="783" spans="1:8" ht="17.399999999999999" x14ac:dyDescent="0.25">
      <c r="A783" s="32" t="s">
        <v>4</v>
      </c>
      <c r="B783" s="33"/>
      <c r="C783" s="12">
        <v>148</v>
      </c>
      <c r="D783" s="30" t="str">
        <f t="shared" si="12"/>
        <v/>
      </c>
      <c r="E783" s="13"/>
      <c r="F783" s="13"/>
      <c r="G783" s="12"/>
      <c r="H783" s="14"/>
    </row>
    <row r="784" spans="1:8" ht="17.399999999999999" x14ac:dyDescent="0.25">
      <c r="A784" s="34" t="s">
        <v>391</v>
      </c>
      <c r="B784" s="35"/>
      <c r="C784" s="9">
        <v>618.94000000000005</v>
      </c>
      <c r="D784" s="29">
        <f t="shared" si="12"/>
        <v>8.8420000000000005</v>
      </c>
      <c r="E784" s="10"/>
      <c r="F784" s="10"/>
      <c r="G784" s="9"/>
      <c r="H784" s="11"/>
    </row>
    <row r="785" spans="1:8" ht="17.399999999999999" x14ac:dyDescent="0.25">
      <c r="A785" s="32" t="s">
        <v>4</v>
      </c>
      <c r="B785" s="33"/>
      <c r="C785" s="12">
        <v>70</v>
      </c>
      <c r="D785" s="30" t="str">
        <f t="shared" si="12"/>
        <v/>
      </c>
      <c r="E785" s="13"/>
      <c r="F785" s="13"/>
      <c r="G785" s="12"/>
      <c r="H785" s="14"/>
    </row>
    <row r="786" spans="1:8" ht="17.399999999999999" x14ac:dyDescent="0.25">
      <c r="A786" s="34" t="s">
        <v>392</v>
      </c>
      <c r="B786" s="35"/>
      <c r="C786" s="15">
        <v>20422.580000000002</v>
      </c>
      <c r="D786" s="29">
        <f t="shared" si="12"/>
        <v>22.442395604395607</v>
      </c>
      <c r="E786" s="10"/>
      <c r="F786" s="10"/>
      <c r="G786" s="15"/>
      <c r="H786" s="11"/>
    </row>
    <row r="787" spans="1:8" ht="17.399999999999999" x14ac:dyDescent="0.25">
      <c r="A787" s="32" t="s">
        <v>4</v>
      </c>
      <c r="B787" s="33"/>
      <c r="C787" s="12">
        <v>910</v>
      </c>
      <c r="D787" s="30" t="str">
        <f t="shared" si="12"/>
        <v/>
      </c>
      <c r="E787" s="13"/>
      <c r="F787" s="13"/>
      <c r="G787" s="12"/>
      <c r="H787" s="14"/>
    </row>
    <row r="788" spans="1:8" ht="17.399999999999999" x14ac:dyDescent="0.25">
      <c r="A788" s="34" t="s">
        <v>393</v>
      </c>
      <c r="B788" s="35"/>
      <c r="C788" s="9">
        <v>104.27</v>
      </c>
      <c r="D788" s="29">
        <f t="shared" si="12"/>
        <v>1.0427</v>
      </c>
      <c r="E788" s="10"/>
      <c r="F788" s="10"/>
      <c r="G788" s="9"/>
      <c r="H788" s="11"/>
    </row>
    <row r="789" spans="1:8" ht="17.399999999999999" x14ac:dyDescent="0.25">
      <c r="A789" s="32" t="s">
        <v>4</v>
      </c>
      <c r="B789" s="33"/>
      <c r="C789" s="12">
        <v>100</v>
      </c>
      <c r="D789" s="30" t="str">
        <f t="shared" si="12"/>
        <v/>
      </c>
      <c r="E789" s="13"/>
      <c r="F789" s="13"/>
      <c r="G789" s="12"/>
      <c r="H789" s="14"/>
    </row>
    <row r="790" spans="1:8" ht="17.399999999999999" x14ac:dyDescent="0.25">
      <c r="A790" s="34" t="s">
        <v>394</v>
      </c>
      <c r="B790" s="35"/>
      <c r="C790" s="9">
        <v>76.63</v>
      </c>
      <c r="D790" s="29">
        <f t="shared" si="12"/>
        <v>3.1929166666666666</v>
      </c>
      <c r="E790" s="10"/>
      <c r="F790" s="10"/>
      <c r="G790" s="9"/>
      <c r="H790" s="11"/>
    </row>
    <row r="791" spans="1:8" ht="17.399999999999999" x14ac:dyDescent="0.25">
      <c r="A791" s="32" t="s">
        <v>4</v>
      </c>
      <c r="B791" s="33"/>
      <c r="C791" s="12">
        <v>24</v>
      </c>
      <c r="D791" s="30" t="str">
        <f t="shared" si="12"/>
        <v/>
      </c>
      <c r="E791" s="13"/>
      <c r="F791" s="13"/>
      <c r="G791" s="12"/>
      <c r="H791" s="14"/>
    </row>
    <row r="792" spans="1:8" ht="17.399999999999999" x14ac:dyDescent="0.25">
      <c r="A792" s="34" t="s">
        <v>395</v>
      </c>
      <c r="B792" s="35"/>
      <c r="C792" s="15">
        <v>30871.54</v>
      </c>
      <c r="D792" s="29">
        <f t="shared" si="12"/>
        <v>4.8963584456780334</v>
      </c>
      <c r="E792" s="10"/>
      <c r="F792" s="10"/>
      <c r="G792" s="15"/>
      <c r="H792" s="11"/>
    </row>
    <row r="793" spans="1:8" ht="17.399999999999999" x14ac:dyDescent="0.25">
      <c r="A793" s="32" t="s">
        <v>4</v>
      </c>
      <c r="B793" s="33"/>
      <c r="C793" s="16">
        <v>6305</v>
      </c>
      <c r="D793" s="30" t="str">
        <f t="shared" si="12"/>
        <v/>
      </c>
      <c r="E793" s="13"/>
      <c r="F793" s="13"/>
      <c r="G793" s="16"/>
      <c r="H793" s="14"/>
    </row>
    <row r="794" spans="1:8" ht="17.399999999999999" x14ac:dyDescent="0.25">
      <c r="A794" s="34" t="s">
        <v>396</v>
      </c>
      <c r="B794" s="35"/>
      <c r="C794" s="9">
        <v>177.92</v>
      </c>
      <c r="D794" s="29">
        <f t="shared" si="12"/>
        <v>2.9653333333333332</v>
      </c>
      <c r="E794" s="10"/>
      <c r="F794" s="10"/>
      <c r="G794" s="9"/>
      <c r="H794" s="11"/>
    </row>
    <row r="795" spans="1:8" ht="17.399999999999999" x14ac:dyDescent="0.25">
      <c r="A795" s="32" t="s">
        <v>4</v>
      </c>
      <c r="B795" s="33"/>
      <c r="C795" s="12">
        <v>60</v>
      </c>
      <c r="D795" s="30" t="str">
        <f t="shared" si="12"/>
        <v/>
      </c>
      <c r="E795" s="13"/>
      <c r="F795" s="13"/>
      <c r="G795" s="12"/>
      <c r="H795" s="14"/>
    </row>
    <row r="796" spans="1:8" ht="17.399999999999999" x14ac:dyDescent="0.25">
      <c r="A796" s="34" t="s">
        <v>397</v>
      </c>
      <c r="B796" s="35"/>
      <c r="C796" s="9">
        <v>147.86000000000001</v>
      </c>
      <c r="D796" s="29">
        <f t="shared" si="12"/>
        <v>36.965000000000003</v>
      </c>
      <c r="E796" s="10"/>
      <c r="F796" s="10"/>
      <c r="G796" s="9"/>
      <c r="H796" s="11"/>
    </row>
    <row r="797" spans="1:8" ht="17.399999999999999" x14ac:dyDescent="0.25">
      <c r="A797" s="32" t="s">
        <v>4</v>
      </c>
      <c r="B797" s="33"/>
      <c r="C797" s="12">
        <v>4</v>
      </c>
      <c r="D797" s="30" t="str">
        <f t="shared" si="12"/>
        <v/>
      </c>
      <c r="E797" s="13"/>
      <c r="F797" s="13"/>
      <c r="G797" s="12"/>
      <c r="H797" s="14"/>
    </row>
    <row r="798" spans="1:8" ht="17.399999999999999" x14ac:dyDescent="0.25">
      <c r="A798" s="34" t="s">
        <v>398</v>
      </c>
      <c r="B798" s="35"/>
      <c r="C798" s="9">
        <v>192.9</v>
      </c>
      <c r="D798" s="29">
        <f t="shared" si="12"/>
        <v>3.8580000000000001</v>
      </c>
      <c r="E798" s="10"/>
      <c r="F798" s="10"/>
      <c r="G798" s="9"/>
      <c r="H798" s="11"/>
    </row>
    <row r="799" spans="1:8" ht="17.399999999999999" x14ac:dyDescent="0.25">
      <c r="A799" s="32" t="s">
        <v>4</v>
      </c>
      <c r="B799" s="33"/>
      <c r="C799" s="12">
        <v>50</v>
      </c>
      <c r="D799" s="30" t="str">
        <f t="shared" si="12"/>
        <v/>
      </c>
      <c r="E799" s="13"/>
      <c r="F799" s="13"/>
      <c r="G799" s="12"/>
      <c r="H799" s="14"/>
    </row>
    <row r="800" spans="1:8" ht="17.399999999999999" x14ac:dyDescent="0.25">
      <c r="A800" s="34" t="s">
        <v>399</v>
      </c>
      <c r="B800" s="35"/>
      <c r="C800" s="9">
        <v>471.98</v>
      </c>
      <c r="D800" s="29">
        <f t="shared" si="12"/>
        <v>1.1237619047619047</v>
      </c>
      <c r="E800" s="10"/>
      <c r="F800" s="10"/>
      <c r="G800" s="9"/>
      <c r="H800" s="11"/>
    </row>
    <row r="801" spans="1:8" ht="17.399999999999999" x14ac:dyDescent="0.25">
      <c r="A801" s="32" t="s">
        <v>4</v>
      </c>
      <c r="B801" s="33"/>
      <c r="C801" s="12">
        <v>420</v>
      </c>
      <c r="D801" s="30" t="str">
        <f t="shared" si="12"/>
        <v/>
      </c>
      <c r="E801" s="13"/>
      <c r="F801" s="13"/>
      <c r="G801" s="12"/>
      <c r="H801" s="14"/>
    </row>
    <row r="802" spans="1:8" ht="17.399999999999999" x14ac:dyDescent="0.25">
      <c r="A802" s="34" t="s">
        <v>400</v>
      </c>
      <c r="B802" s="35"/>
      <c r="C802" s="9">
        <v>72.92</v>
      </c>
      <c r="D802" s="29">
        <f t="shared" si="12"/>
        <v>1.2153333333333334</v>
      </c>
      <c r="E802" s="10"/>
      <c r="F802" s="10"/>
      <c r="G802" s="9"/>
      <c r="H802" s="11"/>
    </row>
    <row r="803" spans="1:8" ht="17.399999999999999" x14ac:dyDescent="0.25">
      <c r="A803" s="32" t="s">
        <v>4</v>
      </c>
      <c r="B803" s="33"/>
      <c r="C803" s="12">
        <v>60</v>
      </c>
      <c r="D803" s="30" t="str">
        <f t="shared" si="12"/>
        <v/>
      </c>
      <c r="E803" s="13"/>
      <c r="F803" s="13"/>
      <c r="G803" s="12"/>
      <c r="H803" s="14"/>
    </row>
    <row r="804" spans="1:8" ht="17.399999999999999" x14ac:dyDescent="0.25">
      <c r="A804" s="34" t="s">
        <v>401</v>
      </c>
      <c r="B804" s="35"/>
      <c r="C804" s="15">
        <v>1422.57</v>
      </c>
      <c r="D804" s="29">
        <f t="shared" si="12"/>
        <v>35.564250000000001</v>
      </c>
      <c r="E804" s="10"/>
      <c r="F804" s="10"/>
      <c r="G804" s="15"/>
      <c r="H804" s="11"/>
    </row>
    <row r="805" spans="1:8" ht="17.399999999999999" x14ac:dyDescent="0.25">
      <c r="A805" s="32" t="s">
        <v>4</v>
      </c>
      <c r="B805" s="33"/>
      <c r="C805" s="12">
        <v>40</v>
      </c>
      <c r="D805" s="30" t="str">
        <f t="shared" si="12"/>
        <v/>
      </c>
      <c r="E805" s="13"/>
      <c r="F805" s="13"/>
      <c r="G805" s="12"/>
      <c r="H805" s="14"/>
    </row>
    <row r="806" spans="1:8" ht="17.399999999999999" x14ac:dyDescent="0.25">
      <c r="A806" s="34" t="s">
        <v>402</v>
      </c>
      <c r="B806" s="35"/>
      <c r="C806" s="15">
        <v>1729.75</v>
      </c>
      <c r="D806" s="29">
        <f t="shared" si="12"/>
        <v>4.8048611111111112</v>
      </c>
      <c r="E806" s="10"/>
      <c r="F806" s="10"/>
      <c r="G806" s="15"/>
      <c r="H806" s="11"/>
    </row>
    <row r="807" spans="1:8" ht="17.399999999999999" x14ac:dyDescent="0.25">
      <c r="A807" s="32" t="s">
        <v>4</v>
      </c>
      <c r="B807" s="33"/>
      <c r="C807" s="12">
        <v>360</v>
      </c>
      <c r="D807" s="30" t="str">
        <f t="shared" si="12"/>
        <v/>
      </c>
      <c r="E807" s="13"/>
      <c r="F807" s="13"/>
      <c r="G807" s="12"/>
      <c r="H807" s="14"/>
    </row>
    <row r="808" spans="1:8" ht="17.399999999999999" x14ac:dyDescent="0.25">
      <c r="A808" s="34" t="s">
        <v>403</v>
      </c>
      <c r="B808" s="35"/>
      <c r="C808" s="9">
        <v>461.73</v>
      </c>
      <c r="D808" s="29">
        <f t="shared" si="12"/>
        <v>9.2346000000000004</v>
      </c>
      <c r="E808" s="10"/>
      <c r="F808" s="10"/>
      <c r="G808" s="9"/>
      <c r="H808" s="11"/>
    </row>
    <row r="809" spans="1:8" ht="17.399999999999999" x14ac:dyDescent="0.25">
      <c r="A809" s="32" t="s">
        <v>4</v>
      </c>
      <c r="B809" s="33"/>
      <c r="C809" s="12">
        <v>50</v>
      </c>
      <c r="D809" s="30" t="str">
        <f t="shared" si="12"/>
        <v/>
      </c>
      <c r="E809" s="13"/>
      <c r="F809" s="13"/>
      <c r="G809" s="12"/>
      <c r="H809" s="14"/>
    </row>
    <row r="810" spans="1:8" ht="17.399999999999999" x14ac:dyDescent="0.25">
      <c r="A810" s="34" t="s">
        <v>404</v>
      </c>
      <c r="B810" s="35"/>
      <c r="C810" s="9">
        <v>51.96</v>
      </c>
      <c r="D810" s="29">
        <f t="shared" si="12"/>
        <v>5.1959999999999997</v>
      </c>
      <c r="E810" s="10"/>
      <c r="F810" s="10"/>
      <c r="G810" s="9"/>
      <c r="H810" s="11"/>
    </row>
    <row r="811" spans="1:8" ht="17.399999999999999" x14ac:dyDescent="0.25">
      <c r="A811" s="32" t="s">
        <v>4</v>
      </c>
      <c r="B811" s="33"/>
      <c r="C811" s="12">
        <v>10</v>
      </c>
      <c r="D811" s="30" t="str">
        <f t="shared" si="12"/>
        <v/>
      </c>
      <c r="E811" s="13"/>
      <c r="F811" s="13"/>
      <c r="G811" s="12"/>
      <c r="H811" s="14"/>
    </row>
    <row r="812" spans="1:8" ht="17.399999999999999" x14ac:dyDescent="0.25">
      <c r="A812" s="34" t="s">
        <v>405</v>
      </c>
      <c r="B812" s="35"/>
      <c r="C812" s="9">
        <v>385.35</v>
      </c>
      <c r="D812" s="29">
        <f t="shared" si="12"/>
        <v>0.55049999999999999</v>
      </c>
      <c r="E812" s="10"/>
      <c r="F812" s="10"/>
      <c r="G812" s="9"/>
      <c r="H812" s="11"/>
    </row>
    <row r="813" spans="1:8" ht="17.399999999999999" x14ac:dyDescent="0.25">
      <c r="A813" s="32" t="s">
        <v>4</v>
      </c>
      <c r="B813" s="33"/>
      <c r="C813" s="12">
        <v>700</v>
      </c>
      <c r="D813" s="30" t="str">
        <f t="shared" si="12"/>
        <v/>
      </c>
      <c r="E813" s="13"/>
      <c r="F813" s="13"/>
      <c r="G813" s="12"/>
      <c r="H813" s="14"/>
    </row>
    <row r="814" spans="1:8" ht="17.399999999999999" x14ac:dyDescent="0.25">
      <c r="A814" s="34" t="s">
        <v>406</v>
      </c>
      <c r="B814" s="35"/>
      <c r="C814" s="9">
        <v>220.2</v>
      </c>
      <c r="D814" s="29">
        <f t="shared" si="12"/>
        <v>0.55049999999999999</v>
      </c>
      <c r="E814" s="10"/>
      <c r="F814" s="10"/>
      <c r="G814" s="9"/>
      <c r="H814" s="11"/>
    </row>
    <row r="815" spans="1:8" ht="17.399999999999999" x14ac:dyDescent="0.25">
      <c r="A815" s="32" t="s">
        <v>4</v>
      </c>
      <c r="B815" s="33"/>
      <c r="C815" s="12">
        <v>400</v>
      </c>
      <c r="D815" s="30" t="str">
        <f t="shared" si="12"/>
        <v/>
      </c>
      <c r="E815" s="13"/>
      <c r="F815" s="13"/>
      <c r="G815" s="12"/>
      <c r="H815" s="14"/>
    </row>
    <row r="816" spans="1:8" ht="17.399999999999999" x14ac:dyDescent="0.25">
      <c r="A816" s="34" t="s">
        <v>407</v>
      </c>
      <c r="B816" s="35"/>
      <c r="C816" s="9">
        <v>660.6</v>
      </c>
      <c r="D816" s="29">
        <f t="shared" si="12"/>
        <v>0.55049999999999999</v>
      </c>
      <c r="E816" s="10"/>
      <c r="F816" s="10"/>
      <c r="G816" s="9"/>
      <c r="H816" s="11"/>
    </row>
    <row r="817" spans="1:8" ht="17.399999999999999" x14ac:dyDescent="0.25">
      <c r="A817" s="32" t="s">
        <v>4</v>
      </c>
      <c r="B817" s="33"/>
      <c r="C817" s="16">
        <v>1200</v>
      </c>
      <c r="D817" s="30" t="str">
        <f t="shared" si="12"/>
        <v/>
      </c>
      <c r="E817" s="13"/>
      <c r="F817" s="13"/>
      <c r="G817" s="16"/>
      <c r="H817" s="14"/>
    </row>
    <row r="818" spans="1:8" ht="17.399999999999999" x14ac:dyDescent="0.25">
      <c r="A818" s="34" t="s">
        <v>408</v>
      </c>
      <c r="B818" s="35"/>
      <c r="C818" s="9">
        <v>330.3</v>
      </c>
      <c r="D818" s="29">
        <f t="shared" si="12"/>
        <v>0.55049999999999999</v>
      </c>
      <c r="E818" s="10"/>
      <c r="F818" s="10"/>
      <c r="G818" s="9"/>
      <c r="H818" s="11"/>
    </row>
    <row r="819" spans="1:8" ht="17.399999999999999" x14ac:dyDescent="0.25">
      <c r="A819" s="32" t="s">
        <v>4</v>
      </c>
      <c r="B819" s="33"/>
      <c r="C819" s="12">
        <v>600</v>
      </c>
      <c r="D819" s="30" t="str">
        <f t="shared" si="12"/>
        <v/>
      </c>
      <c r="E819" s="13"/>
      <c r="F819" s="13"/>
      <c r="G819" s="12"/>
      <c r="H819" s="14"/>
    </row>
    <row r="820" spans="1:8" ht="17.399999999999999" x14ac:dyDescent="0.25">
      <c r="A820" s="34" t="s">
        <v>409</v>
      </c>
      <c r="B820" s="35"/>
      <c r="C820" s="9">
        <v>55.05</v>
      </c>
      <c r="D820" s="29">
        <f t="shared" si="12"/>
        <v>0.55049999999999999</v>
      </c>
      <c r="E820" s="10"/>
      <c r="F820" s="10"/>
      <c r="G820" s="9"/>
      <c r="H820" s="11"/>
    </row>
    <row r="821" spans="1:8" ht="17.399999999999999" x14ac:dyDescent="0.25">
      <c r="A821" s="32" t="s">
        <v>4</v>
      </c>
      <c r="B821" s="33"/>
      <c r="C821" s="12">
        <v>100</v>
      </c>
      <c r="D821" s="30" t="str">
        <f t="shared" si="12"/>
        <v/>
      </c>
      <c r="E821" s="13"/>
      <c r="F821" s="13"/>
      <c r="G821" s="12"/>
      <c r="H821" s="14"/>
    </row>
    <row r="822" spans="1:8" ht="17.399999999999999" x14ac:dyDescent="0.25">
      <c r="A822" s="34" t="s">
        <v>410</v>
      </c>
      <c r="B822" s="35"/>
      <c r="C822" s="9">
        <v>550.5</v>
      </c>
      <c r="D822" s="29">
        <f t="shared" si="12"/>
        <v>0.55049999999999999</v>
      </c>
      <c r="E822" s="10"/>
      <c r="F822" s="10"/>
      <c r="G822" s="9"/>
      <c r="H822" s="11"/>
    </row>
    <row r="823" spans="1:8" ht="17.399999999999999" x14ac:dyDescent="0.25">
      <c r="A823" s="32" t="s">
        <v>4</v>
      </c>
      <c r="B823" s="33"/>
      <c r="C823" s="16">
        <v>1000</v>
      </c>
      <c r="D823" s="30" t="str">
        <f t="shared" si="12"/>
        <v/>
      </c>
      <c r="E823" s="13"/>
      <c r="F823" s="13"/>
      <c r="G823" s="16"/>
      <c r="H823" s="14"/>
    </row>
    <row r="824" spans="1:8" ht="17.399999999999999" x14ac:dyDescent="0.25">
      <c r="A824" s="34" t="s">
        <v>411</v>
      </c>
      <c r="B824" s="35"/>
      <c r="C824" s="9">
        <v>324</v>
      </c>
      <c r="D824" s="29">
        <f t="shared" si="12"/>
        <v>0.12959999999999999</v>
      </c>
      <c r="E824" s="10"/>
      <c r="F824" s="10"/>
      <c r="G824" s="9"/>
      <c r="H824" s="11"/>
    </row>
    <row r="825" spans="1:8" ht="17.399999999999999" x14ac:dyDescent="0.25">
      <c r="A825" s="32" t="s">
        <v>4</v>
      </c>
      <c r="B825" s="33"/>
      <c r="C825" s="16">
        <v>2500</v>
      </c>
      <c r="D825" s="30" t="str">
        <f t="shared" si="12"/>
        <v/>
      </c>
      <c r="E825" s="13"/>
      <c r="F825" s="13"/>
      <c r="G825" s="16"/>
      <c r="H825" s="14"/>
    </row>
    <row r="826" spans="1:8" ht="17.399999999999999" x14ac:dyDescent="0.25">
      <c r="A826" s="34" t="s">
        <v>412</v>
      </c>
      <c r="B826" s="35"/>
      <c r="C826" s="9">
        <v>291.83</v>
      </c>
      <c r="D826" s="29">
        <f t="shared" si="12"/>
        <v>0.9474999999999999</v>
      </c>
      <c r="E826" s="10"/>
      <c r="F826" s="10"/>
      <c r="G826" s="9"/>
      <c r="H826" s="11"/>
    </row>
    <row r="827" spans="1:8" ht="17.399999999999999" x14ac:dyDescent="0.25">
      <c r="A827" s="32" t="s">
        <v>4</v>
      </c>
      <c r="B827" s="33"/>
      <c r="C827" s="12">
        <v>308</v>
      </c>
      <c r="D827" s="30" t="str">
        <f t="shared" si="12"/>
        <v/>
      </c>
      <c r="E827" s="13"/>
      <c r="F827" s="13"/>
      <c r="G827" s="12"/>
      <c r="H827" s="14"/>
    </row>
    <row r="828" spans="1:8" ht="17.399999999999999" x14ac:dyDescent="0.25">
      <c r="A828" s="34" t="s">
        <v>413</v>
      </c>
      <c r="B828" s="35"/>
      <c r="C828" s="9">
        <v>338.54</v>
      </c>
      <c r="D828" s="29">
        <f t="shared" si="12"/>
        <v>0.93005494505494513</v>
      </c>
      <c r="E828" s="10"/>
      <c r="F828" s="10"/>
      <c r="G828" s="9"/>
      <c r="H828" s="11"/>
    </row>
    <row r="829" spans="1:8" ht="17.399999999999999" x14ac:dyDescent="0.25">
      <c r="A829" s="32" t="s">
        <v>4</v>
      </c>
      <c r="B829" s="33"/>
      <c r="C829" s="12">
        <v>364</v>
      </c>
      <c r="D829" s="30" t="str">
        <f t="shared" si="12"/>
        <v/>
      </c>
      <c r="E829" s="13"/>
      <c r="F829" s="13"/>
      <c r="G829" s="12"/>
      <c r="H829" s="14"/>
    </row>
    <row r="830" spans="1:8" ht="17.399999999999999" x14ac:dyDescent="0.25">
      <c r="A830" s="34" t="s">
        <v>414</v>
      </c>
      <c r="B830" s="35"/>
      <c r="C830" s="9">
        <v>661.07</v>
      </c>
      <c r="D830" s="29">
        <f t="shared" si="12"/>
        <v>3.3053500000000002</v>
      </c>
      <c r="E830" s="10"/>
      <c r="F830" s="10"/>
      <c r="G830" s="9"/>
      <c r="H830" s="11"/>
    </row>
    <row r="831" spans="1:8" ht="17.399999999999999" x14ac:dyDescent="0.25">
      <c r="A831" s="32" t="s">
        <v>4</v>
      </c>
      <c r="B831" s="33"/>
      <c r="C831" s="12">
        <v>200</v>
      </c>
      <c r="D831" s="30" t="str">
        <f t="shared" si="12"/>
        <v/>
      </c>
      <c r="E831" s="13"/>
      <c r="F831" s="13"/>
      <c r="G831" s="12"/>
      <c r="H831" s="14"/>
    </row>
    <row r="832" spans="1:8" ht="17.399999999999999" x14ac:dyDescent="0.25">
      <c r="A832" s="34" t="s">
        <v>415</v>
      </c>
      <c r="B832" s="35"/>
      <c r="C832" s="9">
        <v>993.46</v>
      </c>
      <c r="D832" s="29">
        <f t="shared" si="12"/>
        <v>49.673000000000002</v>
      </c>
      <c r="E832" s="10"/>
      <c r="F832" s="10"/>
      <c r="G832" s="9"/>
      <c r="H832" s="11"/>
    </row>
    <row r="833" spans="1:8" ht="17.399999999999999" x14ac:dyDescent="0.25">
      <c r="A833" s="32" t="s">
        <v>4</v>
      </c>
      <c r="B833" s="33"/>
      <c r="C833" s="12">
        <v>20</v>
      </c>
      <c r="D833" s="30" t="str">
        <f t="shared" si="12"/>
        <v/>
      </c>
      <c r="E833" s="13"/>
      <c r="F833" s="13"/>
      <c r="G833" s="12"/>
      <c r="H833" s="14"/>
    </row>
    <row r="834" spans="1:8" ht="17.399999999999999" x14ac:dyDescent="0.25">
      <c r="A834" s="34" t="s">
        <v>416</v>
      </c>
      <c r="B834" s="35"/>
      <c r="C834" s="15">
        <v>2742.18</v>
      </c>
      <c r="D834" s="29">
        <f t="shared" si="12"/>
        <v>18.281199999999998</v>
      </c>
      <c r="E834" s="10"/>
      <c r="F834" s="10"/>
      <c r="G834" s="15"/>
      <c r="H834" s="11"/>
    </row>
    <row r="835" spans="1:8" ht="17.399999999999999" x14ac:dyDescent="0.25">
      <c r="A835" s="32" t="s">
        <v>4</v>
      </c>
      <c r="B835" s="33"/>
      <c r="C835" s="12">
        <v>150</v>
      </c>
      <c r="D835" s="30" t="str">
        <f t="shared" si="12"/>
        <v/>
      </c>
      <c r="E835" s="13"/>
      <c r="F835" s="13"/>
      <c r="G835" s="12"/>
      <c r="H835" s="14"/>
    </row>
    <row r="836" spans="1:8" ht="17.399999999999999" x14ac:dyDescent="0.25">
      <c r="A836" s="34" t="s">
        <v>417</v>
      </c>
      <c r="B836" s="35"/>
      <c r="C836" s="9">
        <v>928.8</v>
      </c>
      <c r="D836" s="29">
        <f t="shared" si="12"/>
        <v>1.29</v>
      </c>
      <c r="E836" s="10"/>
      <c r="F836" s="10"/>
      <c r="G836" s="9"/>
      <c r="H836" s="11"/>
    </row>
    <row r="837" spans="1:8" ht="17.399999999999999" x14ac:dyDescent="0.25">
      <c r="A837" s="32" t="s">
        <v>4</v>
      </c>
      <c r="B837" s="33"/>
      <c r="C837" s="12">
        <v>720</v>
      </c>
      <c r="D837" s="30" t="str">
        <f t="shared" si="12"/>
        <v/>
      </c>
      <c r="E837" s="13"/>
      <c r="F837" s="13"/>
      <c r="G837" s="12"/>
      <c r="H837" s="14"/>
    </row>
    <row r="838" spans="1:8" ht="17.399999999999999" x14ac:dyDescent="0.25">
      <c r="A838" s="34" t="s">
        <v>418</v>
      </c>
      <c r="B838" s="35"/>
      <c r="C838" s="9">
        <v>712.24</v>
      </c>
      <c r="D838" s="29">
        <f t="shared" si="12"/>
        <v>35.612000000000002</v>
      </c>
      <c r="E838" s="10"/>
      <c r="F838" s="10"/>
      <c r="G838" s="9"/>
      <c r="H838" s="11"/>
    </row>
    <row r="839" spans="1:8" ht="17.399999999999999" x14ac:dyDescent="0.25">
      <c r="A839" s="32" t="s">
        <v>4</v>
      </c>
      <c r="B839" s="33"/>
      <c r="C839" s="12">
        <v>20</v>
      </c>
      <c r="D839" s="30" t="str">
        <f t="shared" si="12"/>
        <v/>
      </c>
      <c r="E839" s="13"/>
      <c r="F839" s="13"/>
      <c r="G839" s="12"/>
      <c r="H839" s="14"/>
    </row>
    <row r="840" spans="1:8" ht="17.399999999999999" x14ac:dyDescent="0.25">
      <c r="A840" s="34" t="s">
        <v>419</v>
      </c>
      <c r="B840" s="35"/>
      <c r="C840" s="15">
        <v>1340.5</v>
      </c>
      <c r="D840" s="29">
        <f t="shared" si="12"/>
        <v>12.528037383177571</v>
      </c>
      <c r="E840" s="10"/>
      <c r="F840" s="10"/>
      <c r="G840" s="15"/>
      <c r="H840" s="11"/>
    </row>
    <row r="841" spans="1:8" ht="17.399999999999999" x14ac:dyDescent="0.25">
      <c r="A841" s="32" t="s">
        <v>4</v>
      </c>
      <c r="B841" s="33"/>
      <c r="C841" s="12">
        <v>107</v>
      </c>
      <c r="D841" s="30" t="str">
        <f t="shared" si="12"/>
        <v/>
      </c>
      <c r="E841" s="13"/>
      <c r="F841" s="13"/>
      <c r="G841" s="12"/>
      <c r="H841" s="14"/>
    </row>
    <row r="842" spans="1:8" ht="17.399999999999999" x14ac:dyDescent="0.25">
      <c r="A842" s="34" t="s">
        <v>420</v>
      </c>
      <c r="B842" s="35"/>
      <c r="C842" s="9">
        <v>277.56</v>
      </c>
      <c r="D842" s="29">
        <f t="shared" ref="D842:D905" si="13">IF($A843="Кол-во",IFERROR($C842/$C843,""),"")</f>
        <v>2.7755999999999998</v>
      </c>
      <c r="E842" s="10"/>
      <c r="F842" s="10"/>
      <c r="G842" s="9"/>
      <c r="H842" s="11"/>
    </row>
    <row r="843" spans="1:8" ht="17.399999999999999" x14ac:dyDescent="0.25">
      <c r="A843" s="32" t="s">
        <v>4</v>
      </c>
      <c r="B843" s="33"/>
      <c r="C843" s="12">
        <v>100</v>
      </c>
      <c r="D843" s="30" t="str">
        <f t="shared" si="13"/>
        <v/>
      </c>
      <c r="E843" s="13"/>
      <c r="F843" s="13"/>
      <c r="G843" s="12"/>
      <c r="H843" s="14"/>
    </row>
    <row r="844" spans="1:8" ht="17.399999999999999" x14ac:dyDescent="0.25">
      <c r="A844" s="34" t="s">
        <v>421</v>
      </c>
      <c r="B844" s="35"/>
      <c r="C844" s="9">
        <v>161.41999999999999</v>
      </c>
      <c r="D844" s="29">
        <f t="shared" si="13"/>
        <v>1.3451666666666666</v>
      </c>
      <c r="E844" s="10"/>
      <c r="F844" s="10"/>
      <c r="G844" s="9"/>
      <c r="H844" s="11"/>
    </row>
    <row r="845" spans="1:8" ht="17.399999999999999" x14ac:dyDescent="0.25">
      <c r="A845" s="32" t="s">
        <v>4</v>
      </c>
      <c r="B845" s="33"/>
      <c r="C845" s="12">
        <v>120</v>
      </c>
      <c r="D845" s="30" t="str">
        <f t="shared" si="13"/>
        <v/>
      </c>
      <c r="E845" s="13"/>
      <c r="F845" s="13"/>
      <c r="G845" s="12"/>
      <c r="H845" s="14"/>
    </row>
    <row r="846" spans="1:8" ht="17.399999999999999" x14ac:dyDescent="0.25">
      <c r="A846" s="34" t="s">
        <v>422</v>
      </c>
      <c r="B846" s="35"/>
      <c r="C846" s="9">
        <v>403.28</v>
      </c>
      <c r="D846" s="29">
        <f t="shared" si="13"/>
        <v>0.68352542372881353</v>
      </c>
      <c r="E846" s="10"/>
      <c r="F846" s="10"/>
      <c r="G846" s="9"/>
      <c r="H846" s="11"/>
    </row>
    <row r="847" spans="1:8" ht="17.399999999999999" x14ac:dyDescent="0.25">
      <c r="A847" s="32" t="s">
        <v>4</v>
      </c>
      <c r="B847" s="33"/>
      <c r="C847" s="12">
        <v>590</v>
      </c>
      <c r="D847" s="30" t="str">
        <f t="shared" si="13"/>
        <v/>
      </c>
      <c r="E847" s="13"/>
      <c r="F847" s="13"/>
      <c r="G847" s="12"/>
      <c r="H847" s="14"/>
    </row>
    <row r="848" spans="1:8" ht="17.399999999999999" x14ac:dyDescent="0.25">
      <c r="A848" s="34" t="s">
        <v>423</v>
      </c>
      <c r="B848" s="35"/>
      <c r="C848" s="15">
        <v>3963.13</v>
      </c>
      <c r="D848" s="29">
        <f t="shared" si="13"/>
        <v>58.281323529411765</v>
      </c>
      <c r="E848" s="10"/>
      <c r="F848" s="10"/>
      <c r="G848" s="15"/>
      <c r="H848" s="11"/>
    </row>
    <row r="849" spans="1:8" ht="17.399999999999999" x14ac:dyDescent="0.25">
      <c r="A849" s="32" t="s">
        <v>4</v>
      </c>
      <c r="B849" s="33"/>
      <c r="C849" s="12">
        <v>68</v>
      </c>
      <c r="D849" s="30" t="str">
        <f t="shared" si="13"/>
        <v/>
      </c>
      <c r="E849" s="13"/>
      <c r="F849" s="13"/>
      <c r="G849" s="12"/>
      <c r="H849" s="14"/>
    </row>
    <row r="850" spans="1:8" ht="17.399999999999999" x14ac:dyDescent="0.25">
      <c r="A850" s="34" t="s">
        <v>424</v>
      </c>
      <c r="B850" s="35"/>
      <c r="C850" s="15">
        <v>57906.82</v>
      </c>
      <c r="D850" s="29">
        <f t="shared" si="13"/>
        <v>4.7589431295200528</v>
      </c>
      <c r="E850" s="10"/>
      <c r="F850" s="10"/>
      <c r="G850" s="15"/>
      <c r="H850" s="11"/>
    </row>
    <row r="851" spans="1:8" ht="17.399999999999999" x14ac:dyDescent="0.25">
      <c r="A851" s="32" t="s">
        <v>4</v>
      </c>
      <c r="B851" s="33"/>
      <c r="C851" s="16">
        <v>12168</v>
      </c>
      <c r="D851" s="30" t="str">
        <f t="shared" si="13"/>
        <v/>
      </c>
      <c r="E851" s="13"/>
      <c r="F851" s="13"/>
      <c r="G851" s="16"/>
      <c r="H851" s="14"/>
    </row>
    <row r="852" spans="1:8" ht="17.399999999999999" x14ac:dyDescent="0.25">
      <c r="A852" s="34" t="s">
        <v>425</v>
      </c>
      <c r="B852" s="35"/>
      <c r="C852" s="9">
        <v>138.24</v>
      </c>
      <c r="D852" s="29">
        <f t="shared" si="13"/>
        <v>6.9120000000000008</v>
      </c>
      <c r="E852" s="10"/>
      <c r="F852" s="10"/>
      <c r="G852" s="9"/>
      <c r="H852" s="11"/>
    </row>
    <row r="853" spans="1:8" ht="17.399999999999999" x14ac:dyDescent="0.25">
      <c r="A853" s="32" t="s">
        <v>4</v>
      </c>
      <c r="B853" s="33"/>
      <c r="C853" s="12">
        <v>20</v>
      </c>
      <c r="D853" s="30" t="str">
        <f t="shared" si="13"/>
        <v/>
      </c>
      <c r="E853" s="13"/>
      <c r="F853" s="13"/>
      <c r="G853" s="12"/>
      <c r="H853" s="14"/>
    </row>
    <row r="854" spans="1:8" ht="17.399999999999999" x14ac:dyDescent="0.25">
      <c r="A854" s="34" t="s">
        <v>426</v>
      </c>
      <c r="B854" s="35"/>
      <c r="C854" s="9">
        <v>8.52</v>
      </c>
      <c r="D854" s="29">
        <f t="shared" si="13"/>
        <v>0.85199999999999998</v>
      </c>
      <c r="E854" s="10"/>
      <c r="F854" s="10"/>
      <c r="G854" s="9"/>
      <c r="H854" s="11"/>
    </row>
    <row r="855" spans="1:8" ht="17.399999999999999" x14ac:dyDescent="0.25">
      <c r="A855" s="32" t="s">
        <v>4</v>
      </c>
      <c r="B855" s="33"/>
      <c r="C855" s="12">
        <v>10</v>
      </c>
      <c r="D855" s="30" t="str">
        <f t="shared" si="13"/>
        <v/>
      </c>
      <c r="E855" s="13"/>
      <c r="F855" s="13"/>
      <c r="G855" s="12"/>
      <c r="H855" s="14"/>
    </row>
    <row r="856" spans="1:8" ht="17.399999999999999" x14ac:dyDescent="0.25">
      <c r="A856" s="34" t="s">
        <v>427</v>
      </c>
      <c r="B856" s="35"/>
      <c r="C856" s="15">
        <v>4168.3</v>
      </c>
      <c r="D856" s="29">
        <f t="shared" si="13"/>
        <v>46.314444444444447</v>
      </c>
      <c r="E856" s="10"/>
      <c r="F856" s="10"/>
      <c r="G856" s="15"/>
      <c r="H856" s="11"/>
    </row>
    <row r="857" spans="1:8" ht="17.399999999999999" x14ac:dyDescent="0.25">
      <c r="A857" s="32" t="s">
        <v>4</v>
      </c>
      <c r="B857" s="33"/>
      <c r="C857" s="12">
        <v>90</v>
      </c>
      <c r="D857" s="30" t="str">
        <f t="shared" si="13"/>
        <v/>
      </c>
      <c r="E857" s="13"/>
      <c r="F857" s="13"/>
      <c r="G857" s="12"/>
      <c r="H857" s="14"/>
    </row>
    <row r="858" spans="1:8" ht="17.399999999999999" x14ac:dyDescent="0.25">
      <c r="A858" s="34" t="s">
        <v>428</v>
      </c>
      <c r="B858" s="35"/>
      <c r="C858" s="9">
        <v>180.32</v>
      </c>
      <c r="D858" s="29">
        <f t="shared" si="13"/>
        <v>0.45999999999999996</v>
      </c>
      <c r="E858" s="10"/>
      <c r="F858" s="10"/>
      <c r="G858" s="9"/>
      <c r="H858" s="11"/>
    </row>
    <row r="859" spans="1:8" ht="17.399999999999999" x14ac:dyDescent="0.25">
      <c r="A859" s="32" t="s">
        <v>4</v>
      </c>
      <c r="B859" s="33"/>
      <c r="C859" s="12">
        <v>392</v>
      </c>
      <c r="D859" s="30" t="str">
        <f t="shared" si="13"/>
        <v/>
      </c>
      <c r="E859" s="13"/>
      <c r="F859" s="13"/>
      <c r="G859" s="12"/>
      <c r="H859" s="14"/>
    </row>
    <row r="860" spans="1:8" ht="17.399999999999999" x14ac:dyDescent="0.25">
      <c r="A860" s="34" t="s">
        <v>429</v>
      </c>
      <c r="B860" s="35"/>
      <c r="C860" s="15">
        <v>2402.35</v>
      </c>
      <c r="D860" s="29">
        <f t="shared" si="13"/>
        <v>0.36733180428134554</v>
      </c>
      <c r="E860" s="10"/>
      <c r="F860" s="10"/>
      <c r="G860" s="15"/>
      <c r="H860" s="11"/>
    </row>
    <row r="861" spans="1:8" ht="17.399999999999999" x14ac:dyDescent="0.25">
      <c r="A861" s="32" t="s">
        <v>4</v>
      </c>
      <c r="B861" s="33"/>
      <c r="C861" s="16">
        <v>6540</v>
      </c>
      <c r="D861" s="30" t="str">
        <f t="shared" si="13"/>
        <v/>
      </c>
      <c r="E861" s="13"/>
      <c r="F861" s="13"/>
      <c r="G861" s="16"/>
      <c r="H861" s="14"/>
    </row>
    <row r="862" spans="1:8" ht="17.399999999999999" x14ac:dyDescent="0.25">
      <c r="A862" s="34" t="s">
        <v>430</v>
      </c>
      <c r="B862" s="35"/>
      <c r="C862" s="9">
        <v>557.51</v>
      </c>
      <c r="D862" s="29">
        <f t="shared" si="13"/>
        <v>0.45923393739703461</v>
      </c>
      <c r="E862" s="10"/>
      <c r="F862" s="10"/>
      <c r="G862" s="9"/>
      <c r="H862" s="11"/>
    </row>
    <row r="863" spans="1:8" ht="17.399999999999999" x14ac:dyDescent="0.25">
      <c r="A863" s="32" t="s">
        <v>4</v>
      </c>
      <c r="B863" s="33"/>
      <c r="C863" s="16">
        <v>1214</v>
      </c>
      <c r="D863" s="30" t="str">
        <f t="shared" si="13"/>
        <v/>
      </c>
      <c r="E863" s="13"/>
      <c r="F863" s="13"/>
      <c r="G863" s="16"/>
      <c r="H863" s="14"/>
    </row>
    <row r="864" spans="1:8" ht="17.399999999999999" x14ac:dyDescent="0.25">
      <c r="A864" s="34" t="s">
        <v>431</v>
      </c>
      <c r="B864" s="35"/>
      <c r="C864" s="9">
        <v>67.2</v>
      </c>
      <c r="D864" s="29">
        <f t="shared" si="13"/>
        <v>0.56000000000000005</v>
      </c>
      <c r="E864" s="10"/>
      <c r="F864" s="10"/>
      <c r="G864" s="9"/>
      <c r="H864" s="11"/>
    </row>
    <row r="865" spans="1:8" ht="17.399999999999999" x14ac:dyDescent="0.25">
      <c r="A865" s="32" t="s">
        <v>4</v>
      </c>
      <c r="B865" s="33"/>
      <c r="C865" s="12">
        <v>120</v>
      </c>
      <c r="D865" s="30" t="str">
        <f t="shared" si="13"/>
        <v/>
      </c>
      <c r="E865" s="13"/>
      <c r="F865" s="13"/>
      <c r="G865" s="12"/>
      <c r="H865" s="14"/>
    </row>
    <row r="866" spans="1:8" ht="17.399999999999999" x14ac:dyDescent="0.25">
      <c r="A866" s="34" t="s">
        <v>432</v>
      </c>
      <c r="B866" s="35"/>
      <c r="C866" s="9">
        <v>52.41</v>
      </c>
      <c r="D866" s="29">
        <f t="shared" si="13"/>
        <v>1.7469999999999999</v>
      </c>
      <c r="E866" s="10"/>
      <c r="F866" s="10"/>
      <c r="G866" s="9"/>
      <c r="H866" s="11"/>
    </row>
    <row r="867" spans="1:8" ht="17.399999999999999" x14ac:dyDescent="0.25">
      <c r="A867" s="32" t="s">
        <v>4</v>
      </c>
      <c r="B867" s="33"/>
      <c r="C867" s="12">
        <v>30</v>
      </c>
      <c r="D867" s="30" t="str">
        <f t="shared" si="13"/>
        <v/>
      </c>
      <c r="E867" s="13"/>
      <c r="F867" s="13"/>
      <c r="G867" s="12"/>
      <c r="H867" s="14"/>
    </row>
    <row r="868" spans="1:8" ht="17.399999999999999" x14ac:dyDescent="0.25">
      <c r="A868" s="34" t="s">
        <v>433</v>
      </c>
      <c r="B868" s="35"/>
      <c r="C868" s="15">
        <v>1198.22</v>
      </c>
      <c r="D868" s="29">
        <f t="shared" si="13"/>
        <v>0.70483529411764712</v>
      </c>
      <c r="E868" s="10"/>
      <c r="F868" s="10"/>
      <c r="G868" s="15"/>
      <c r="H868" s="11"/>
    </row>
    <row r="869" spans="1:8" ht="17.399999999999999" x14ac:dyDescent="0.25">
      <c r="A869" s="32" t="s">
        <v>4</v>
      </c>
      <c r="B869" s="33"/>
      <c r="C869" s="16">
        <v>1700</v>
      </c>
      <c r="D869" s="30" t="str">
        <f t="shared" si="13"/>
        <v/>
      </c>
      <c r="E869" s="13"/>
      <c r="F869" s="13"/>
      <c r="G869" s="16"/>
      <c r="H869" s="14"/>
    </row>
    <row r="870" spans="1:8" ht="17.399999999999999" x14ac:dyDescent="0.25">
      <c r="A870" s="34" t="s">
        <v>434</v>
      </c>
      <c r="B870" s="35"/>
      <c r="C870" s="9">
        <v>531.86</v>
      </c>
      <c r="D870" s="29">
        <f t="shared" si="13"/>
        <v>0.32830864197530862</v>
      </c>
      <c r="E870" s="10"/>
      <c r="F870" s="10"/>
      <c r="G870" s="9"/>
      <c r="H870" s="11"/>
    </row>
    <row r="871" spans="1:8" ht="17.399999999999999" x14ac:dyDescent="0.25">
      <c r="A871" s="32" t="s">
        <v>4</v>
      </c>
      <c r="B871" s="33"/>
      <c r="C871" s="16">
        <v>1620</v>
      </c>
      <c r="D871" s="30" t="str">
        <f t="shared" si="13"/>
        <v/>
      </c>
      <c r="E871" s="13"/>
      <c r="F871" s="13"/>
      <c r="G871" s="16"/>
      <c r="H871" s="14"/>
    </row>
    <row r="872" spans="1:8" ht="17.399999999999999" x14ac:dyDescent="0.25">
      <c r="A872" s="34" t="s">
        <v>435</v>
      </c>
      <c r="B872" s="35"/>
      <c r="C872" s="9">
        <v>332.16</v>
      </c>
      <c r="D872" s="29">
        <f t="shared" si="13"/>
        <v>0.46133333333333337</v>
      </c>
      <c r="E872" s="10"/>
      <c r="F872" s="10"/>
      <c r="G872" s="9"/>
      <c r="H872" s="11"/>
    </row>
    <row r="873" spans="1:8" ht="17.399999999999999" x14ac:dyDescent="0.25">
      <c r="A873" s="32" t="s">
        <v>4</v>
      </c>
      <c r="B873" s="33"/>
      <c r="C873" s="12">
        <v>720</v>
      </c>
      <c r="D873" s="30" t="str">
        <f t="shared" si="13"/>
        <v/>
      </c>
      <c r="E873" s="13"/>
      <c r="F873" s="13"/>
      <c r="G873" s="12"/>
      <c r="H873" s="14"/>
    </row>
    <row r="874" spans="1:8" ht="17.399999999999999" x14ac:dyDescent="0.25">
      <c r="A874" s="34" t="s">
        <v>436</v>
      </c>
      <c r="B874" s="35"/>
      <c r="C874" s="9">
        <v>47.72</v>
      </c>
      <c r="D874" s="29">
        <f t="shared" si="13"/>
        <v>1.1930000000000001</v>
      </c>
      <c r="E874" s="10"/>
      <c r="F874" s="10"/>
      <c r="G874" s="9"/>
      <c r="H874" s="11"/>
    </row>
    <row r="875" spans="1:8" ht="17.399999999999999" x14ac:dyDescent="0.25">
      <c r="A875" s="32" t="s">
        <v>4</v>
      </c>
      <c r="B875" s="33"/>
      <c r="C875" s="12">
        <v>40</v>
      </c>
      <c r="D875" s="30" t="str">
        <f t="shared" si="13"/>
        <v/>
      </c>
      <c r="E875" s="13"/>
      <c r="F875" s="13"/>
      <c r="G875" s="12"/>
      <c r="H875" s="14"/>
    </row>
    <row r="876" spans="1:8" ht="17.399999999999999" x14ac:dyDescent="0.25">
      <c r="A876" s="34" t="s">
        <v>437</v>
      </c>
      <c r="B876" s="35"/>
      <c r="C876" s="9">
        <v>78.87</v>
      </c>
      <c r="D876" s="29">
        <f t="shared" si="13"/>
        <v>39.435000000000002</v>
      </c>
      <c r="E876" s="10"/>
      <c r="F876" s="10"/>
      <c r="G876" s="9"/>
      <c r="H876" s="11"/>
    </row>
    <row r="877" spans="1:8" ht="17.399999999999999" x14ac:dyDescent="0.25">
      <c r="A877" s="32" t="s">
        <v>4</v>
      </c>
      <c r="B877" s="33"/>
      <c r="C877" s="12">
        <v>2</v>
      </c>
      <c r="D877" s="30" t="str">
        <f t="shared" si="13"/>
        <v/>
      </c>
      <c r="E877" s="13"/>
      <c r="F877" s="13"/>
      <c r="G877" s="12"/>
      <c r="H877" s="14"/>
    </row>
    <row r="878" spans="1:8" ht="17.399999999999999" x14ac:dyDescent="0.25">
      <c r="A878" s="34" t="s">
        <v>438</v>
      </c>
      <c r="B878" s="35"/>
      <c r="C878" s="15">
        <v>2378.6</v>
      </c>
      <c r="D878" s="29">
        <f t="shared" si="13"/>
        <v>19.0288</v>
      </c>
      <c r="E878" s="10"/>
      <c r="F878" s="10"/>
      <c r="G878" s="15"/>
      <c r="H878" s="11"/>
    </row>
    <row r="879" spans="1:8" ht="17.399999999999999" x14ac:dyDescent="0.25">
      <c r="A879" s="32" t="s">
        <v>4</v>
      </c>
      <c r="B879" s="33"/>
      <c r="C879" s="12">
        <v>125</v>
      </c>
      <c r="D879" s="30" t="str">
        <f t="shared" si="13"/>
        <v/>
      </c>
      <c r="E879" s="13"/>
      <c r="F879" s="13"/>
      <c r="G879" s="12"/>
      <c r="H879" s="14"/>
    </row>
    <row r="880" spans="1:8" ht="17.399999999999999" x14ac:dyDescent="0.25">
      <c r="A880" s="34" t="s">
        <v>439</v>
      </c>
      <c r="B880" s="35"/>
      <c r="C880" s="15">
        <v>1517.7</v>
      </c>
      <c r="D880" s="29">
        <f t="shared" si="13"/>
        <v>0.56842696629213485</v>
      </c>
      <c r="E880" s="10"/>
      <c r="F880" s="10"/>
      <c r="G880" s="15"/>
      <c r="H880" s="11"/>
    </row>
    <row r="881" spans="1:8" ht="17.399999999999999" x14ac:dyDescent="0.25">
      <c r="A881" s="32" t="s">
        <v>4</v>
      </c>
      <c r="B881" s="33"/>
      <c r="C881" s="16">
        <v>2670</v>
      </c>
      <c r="D881" s="30" t="str">
        <f t="shared" si="13"/>
        <v/>
      </c>
      <c r="E881" s="13"/>
      <c r="F881" s="13"/>
      <c r="G881" s="16"/>
      <c r="H881" s="14"/>
    </row>
    <row r="882" spans="1:8" ht="17.399999999999999" x14ac:dyDescent="0.25">
      <c r="A882" s="34" t="s">
        <v>440</v>
      </c>
      <c r="B882" s="35"/>
      <c r="C882" s="15">
        <v>1263.6099999999999</v>
      </c>
      <c r="D882" s="29">
        <f t="shared" si="13"/>
        <v>1.8313188405797101</v>
      </c>
      <c r="E882" s="10"/>
      <c r="F882" s="10"/>
      <c r="G882" s="15"/>
      <c r="H882" s="11"/>
    </row>
    <row r="883" spans="1:8" ht="17.399999999999999" x14ac:dyDescent="0.25">
      <c r="A883" s="32" t="s">
        <v>4</v>
      </c>
      <c r="B883" s="33"/>
      <c r="C883" s="12">
        <v>690</v>
      </c>
      <c r="D883" s="30" t="str">
        <f t="shared" si="13"/>
        <v/>
      </c>
      <c r="E883" s="13"/>
      <c r="F883" s="13"/>
      <c r="G883" s="12"/>
      <c r="H883" s="14"/>
    </row>
    <row r="884" spans="1:8" ht="17.399999999999999" x14ac:dyDescent="0.25">
      <c r="A884" s="34" t="s">
        <v>441</v>
      </c>
      <c r="B884" s="35"/>
      <c r="C884" s="9">
        <v>109.16</v>
      </c>
      <c r="D884" s="29">
        <f t="shared" si="13"/>
        <v>109.16</v>
      </c>
      <c r="E884" s="10"/>
      <c r="F884" s="10"/>
      <c r="G884" s="9"/>
      <c r="H884" s="11"/>
    </row>
    <row r="885" spans="1:8" ht="17.399999999999999" x14ac:dyDescent="0.25">
      <c r="A885" s="32" t="s">
        <v>4</v>
      </c>
      <c r="B885" s="33"/>
      <c r="C885" s="12">
        <v>1</v>
      </c>
      <c r="D885" s="30" t="str">
        <f t="shared" si="13"/>
        <v/>
      </c>
      <c r="E885" s="13"/>
      <c r="F885" s="13"/>
      <c r="G885" s="12"/>
      <c r="H885" s="14"/>
    </row>
    <row r="886" spans="1:8" ht="17.399999999999999" x14ac:dyDescent="0.25">
      <c r="A886" s="34" t="s">
        <v>442</v>
      </c>
      <c r="B886" s="35"/>
      <c r="C886" s="15">
        <v>2714.51</v>
      </c>
      <c r="D886" s="29">
        <f t="shared" si="13"/>
        <v>43.087460317460319</v>
      </c>
      <c r="E886" s="10"/>
      <c r="F886" s="10"/>
      <c r="G886" s="15"/>
      <c r="H886" s="11"/>
    </row>
    <row r="887" spans="1:8" ht="17.399999999999999" x14ac:dyDescent="0.25">
      <c r="A887" s="32" t="s">
        <v>4</v>
      </c>
      <c r="B887" s="33"/>
      <c r="C887" s="12">
        <v>63</v>
      </c>
      <c r="D887" s="30" t="str">
        <f t="shared" si="13"/>
        <v/>
      </c>
      <c r="E887" s="13"/>
      <c r="F887" s="13"/>
      <c r="G887" s="12"/>
      <c r="H887" s="14"/>
    </row>
    <row r="888" spans="1:8" ht="17.399999999999999" x14ac:dyDescent="0.25">
      <c r="A888" s="34" t="s">
        <v>443</v>
      </c>
      <c r="B888" s="35"/>
      <c r="C888" s="9">
        <v>207.86</v>
      </c>
      <c r="D888" s="29">
        <f t="shared" si="13"/>
        <v>1.7321666666666669</v>
      </c>
      <c r="E888" s="10"/>
      <c r="F888" s="10"/>
      <c r="G888" s="9"/>
      <c r="H888" s="11"/>
    </row>
    <row r="889" spans="1:8" ht="17.399999999999999" x14ac:dyDescent="0.25">
      <c r="A889" s="32" t="s">
        <v>4</v>
      </c>
      <c r="B889" s="33"/>
      <c r="C889" s="12">
        <v>120</v>
      </c>
      <c r="D889" s="30" t="str">
        <f t="shared" si="13"/>
        <v/>
      </c>
      <c r="E889" s="13"/>
      <c r="F889" s="13"/>
      <c r="G889" s="12"/>
      <c r="H889" s="14"/>
    </row>
    <row r="890" spans="1:8" ht="17.399999999999999" x14ac:dyDescent="0.25">
      <c r="A890" s="34" t="s">
        <v>444</v>
      </c>
      <c r="B890" s="35"/>
      <c r="C890" s="15">
        <v>18194.02</v>
      </c>
      <c r="D890" s="29">
        <f t="shared" si="13"/>
        <v>82.700090909090918</v>
      </c>
      <c r="E890" s="10"/>
      <c r="F890" s="10"/>
      <c r="G890" s="15"/>
      <c r="H890" s="11"/>
    </row>
    <row r="891" spans="1:8" ht="17.399999999999999" x14ac:dyDescent="0.25">
      <c r="A891" s="32" t="s">
        <v>4</v>
      </c>
      <c r="B891" s="33"/>
      <c r="C891" s="12">
        <v>220</v>
      </c>
      <c r="D891" s="30" t="str">
        <f t="shared" si="13"/>
        <v/>
      </c>
      <c r="E891" s="13"/>
      <c r="F891" s="13"/>
      <c r="G891" s="12"/>
      <c r="H891" s="14"/>
    </row>
    <row r="892" spans="1:8" ht="17.399999999999999" x14ac:dyDescent="0.25">
      <c r="A892" s="34" t="s">
        <v>445</v>
      </c>
      <c r="B892" s="35"/>
      <c r="C892" s="9">
        <v>957.02</v>
      </c>
      <c r="D892" s="29">
        <f t="shared" si="13"/>
        <v>7.9751666666666665</v>
      </c>
      <c r="E892" s="10"/>
      <c r="F892" s="10"/>
      <c r="G892" s="9"/>
      <c r="H892" s="11"/>
    </row>
    <row r="893" spans="1:8" ht="17.399999999999999" x14ac:dyDescent="0.25">
      <c r="A893" s="32" t="s">
        <v>4</v>
      </c>
      <c r="B893" s="33"/>
      <c r="C893" s="12">
        <v>120</v>
      </c>
      <c r="D893" s="30" t="str">
        <f t="shared" si="13"/>
        <v/>
      </c>
      <c r="E893" s="13"/>
      <c r="F893" s="13"/>
      <c r="G893" s="12"/>
      <c r="H893" s="14"/>
    </row>
    <row r="894" spans="1:8" ht="17.399999999999999" x14ac:dyDescent="0.25">
      <c r="A894" s="34" t="s">
        <v>446</v>
      </c>
      <c r="B894" s="35"/>
      <c r="C894" s="9">
        <v>164.7</v>
      </c>
      <c r="D894" s="29">
        <f t="shared" si="13"/>
        <v>2.7449999999999997</v>
      </c>
      <c r="E894" s="10"/>
      <c r="F894" s="10"/>
      <c r="G894" s="9"/>
      <c r="H894" s="11"/>
    </row>
    <row r="895" spans="1:8" ht="17.399999999999999" x14ac:dyDescent="0.25">
      <c r="A895" s="32" t="s">
        <v>4</v>
      </c>
      <c r="B895" s="33"/>
      <c r="C895" s="12">
        <v>60</v>
      </c>
      <c r="D895" s="30" t="str">
        <f t="shared" si="13"/>
        <v/>
      </c>
      <c r="E895" s="13"/>
      <c r="F895" s="13"/>
      <c r="G895" s="12"/>
      <c r="H895" s="14"/>
    </row>
    <row r="896" spans="1:8" ht="17.399999999999999" x14ac:dyDescent="0.25">
      <c r="A896" s="34" t="s">
        <v>447</v>
      </c>
      <c r="B896" s="35"/>
      <c r="C896" s="9">
        <v>330.9</v>
      </c>
      <c r="D896" s="29">
        <f t="shared" si="13"/>
        <v>3.0081818181818178</v>
      </c>
      <c r="E896" s="10"/>
      <c r="F896" s="10"/>
      <c r="G896" s="9"/>
      <c r="H896" s="11"/>
    </row>
    <row r="897" spans="1:8" ht="17.399999999999999" x14ac:dyDescent="0.25">
      <c r="A897" s="32" t="s">
        <v>4</v>
      </c>
      <c r="B897" s="33"/>
      <c r="C897" s="12">
        <v>110</v>
      </c>
      <c r="D897" s="30" t="str">
        <f t="shared" si="13"/>
        <v/>
      </c>
      <c r="E897" s="13"/>
      <c r="F897" s="13"/>
      <c r="G897" s="12"/>
      <c r="H897" s="14"/>
    </row>
    <row r="898" spans="1:8" ht="17.399999999999999" x14ac:dyDescent="0.25">
      <c r="A898" s="34" t="s">
        <v>448</v>
      </c>
      <c r="B898" s="35"/>
      <c r="C898" s="9">
        <v>902.49</v>
      </c>
      <c r="D898" s="29">
        <f t="shared" si="13"/>
        <v>3.0083000000000002</v>
      </c>
      <c r="E898" s="10"/>
      <c r="F898" s="10"/>
      <c r="G898" s="9"/>
      <c r="H898" s="11"/>
    </row>
    <row r="899" spans="1:8" ht="17.399999999999999" x14ac:dyDescent="0.25">
      <c r="A899" s="32" t="s">
        <v>4</v>
      </c>
      <c r="B899" s="33"/>
      <c r="C899" s="12">
        <v>300</v>
      </c>
      <c r="D899" s="30" t="str">
        <f t="shared" si="13"/>
        <v/>
      </c>
      <c r="E899" s="13"/>
      <c r="F899" s="13"/>
      <c r="G899" s="12"/>
      <c r="H899" s="14"/>
    </row>
    <row r="900" spans="1:8" ht="17.399999999999999" x14ac:dyDescent="0.25">
      <c r="A900" s="34" t="s">
        <v>449</v>
      </c>
      <c r="B900" s="35"/>
      <c r="C900" s="15">
        <v>5097.4399999999996</v>
      </c>
      <c r="D900" s="29">
        <f t="shared" si="13"/>
        <v>3.1858999999999997</v>
      </c>
      <c r="E900" s="10"/>
      <c r="F900" s="10"/>
      <c r="G900" s="15"/>
      <c r="H900" s="11"/>
    </row>
    <row r="901" spans="1:8" ht="17.399999999999999" x14ac:dyDescent="0.25">
      <c r="A901" s="32" t="s">
        <v>4</v>
      </c>
      <c r="B901" s="33"/>
      <c r="C901" s="16">
        <v>1600</v>
      </c>
      <c r="D901" s="30" t="str">
        <f t="shared" si="13"/>
        <v/>
      </c>
      <c r="E901" s="13"/>
      <c r="F901" s="13"/>
      <c r="G901" s="16"/>
      <c r="H901" s="14"/>
    </row>
    <row r="902" spans="1:8" ht="17.399999999999999" x14ac:dyDescent="0.25">
      <c r="A902" s="34" t="s">
        <v>450</v>
      </c>
      <c r="B902" s="35"/>
      <c r="C902" s="15">
        <v>2153.17</v>
      </c>
      <c r="D902" s="29">
        <f t="shared" si="13"/>
        <v>3.0759571428571428</v>
      </c>
      <c r="E902" s="10"/>
      <c r="F902" s="10"/>
      <c r="G902" s="15"/>
      <c r="H902" s="11"/>
    </row>
    <row r="903" spans="1:8" ht="17.399999999999999" x14ac:dyDescent="0.25">
      <c r="A903" s="32" t="s">
        <v>4</v>
      </c>
      <c r="B903" s="33"/>
      <c r="C903" s="12">
        <v>700</v>
      </c>
      <c r="D903" s="30" t="str">
        <f t="shared" si="13"/>
        <v/>
      </c>
      <c r="E903" s="13"/>
      <c r="F903" s="13"/>
      <c r="G903" s="12"/>
      <c r="H903" s="14"/>
    </row>
    <row r="904" spans="1:8" ht="17.399999999999999" x14ac:dyDescent="0.25">
      <c r="A904" s="34" t="s">
        <v>451</v>
      </c>
      <c r="B904" s="35"/>
      <c r="C904" s="9">
        <v>601.66</v>
      </c>
      <c r="D904" s="29">
        <f t="shared" si="13"/>
        <v>3.0082999999999998</v>
      </c>
      <c r="E904" s="10"/>
      <c r="F904" s="10"/>
      <c r="G904" s="9"/>
      <c r="H904" s="11"/>
    </row>
    <row r="905" spans="1:8" ht="17.399999999999999" x14ac:dyDescent="0.25">
      <c r="A905" s="32" t="s">
        <v>4</v>
      </c>
      <c r="B905" s="33"/>
      <c r="C905" s="12">
        <v>200</v>
      </c>
      <c r="D905" s="30" t="str">
        <f t="shared" si="13"/>
        <v/>
      </c>
      <c r="E905" s="13"/>
      <c r="F905" s="13"/>
      <c r="G905" s="12"/>
      <c r="H905" s="14"/>
    </row>
    <row r="906" spans="1:8" ht="17.399999999999999" x14ac:dyDescent="0.25">
      <c r="A906" s="34" t="s">
        <v>452</v>
      </c>
      <c r="B906" s="35"/>
      <c r="C906" s="15">
        <v>6122.76</v>
      </c>
      <c r="D906" s="29">
        <f t="shared" ref="D906:D969" si="14">IF($A907="Кол-во",IFERROR($C906/$C907,""),"")</f>
        <v>0.72889999999999999</v>
      </c>
      <c r="E906" s="10"/>
      <c r="F906" s="10"/>
      <c r="G906" s="15"/>
      <c r="H906" s="11"/>
    </row>
    <row r="907" spans="1:8" ht="17.399999999999999" x14ac:dyDescent="0.25">
      <c r="A907" s="32" t="s">
        <v>4</v>
      </c>
      <c r="B907" s="33"/>
      <c r="C907" s="16">
        <v>8400</v>
      </c>
      <c r="D907" s="30" t="str">
        <f t="shared" si="14"/>
        <v/>
      </c>
      <c r="E907" s="13"/>
      <c r="F907" s="13"/>
      <c r="G907" s="16"/>
      <c r="H907" s="14"/>
    </row>
    <row r="908" spans="1:8" ht="17.399999999999999" x14ac:dyDescent="0.25">
      <c r="A908" s="34" t="s">
        <v>453</v>
      </c>
      <c r="B908" s="35"/>
      <c r="C908" s="15">
        <v>6122.76</v>
      </c>
      <c r="D908" s="29">
        <f t="shared" si="14"/>
        <v>0.72889999999999999</v>
      </c>
      <c r="E908" s="10"/>
      <c r="F908" s="10"/>
      <c r="G908" s="15"/>
      <c r="H908" s="11"/>
    </row>
    <row r="909" spans="1:8" ht="17.399999999999999" x14ac:dyDescent="0.25">
      <c r="A909" s="32" t="s">
        <v>4</v>
      </c>
      <c r="B909" s="33"/>
      <c r="C909" s="16">
        <v>8400</v>
      </c>
      <c r="D909" s="30" t="str">
        <f t="shared" si="14"/>
        <v/>
      </c>
      <c r="E909" s="13"/>
      <c r="F909" s="13"/>
      <c r="G909" s="16"/>
      <c r="H909" s="14"/>
    </row>
    <row r="910" spans="1:8" ht="17.399999999999999" x14ac:dyDescent="0.25">
      <c r="A910" s="34" t="s">
        <v>454</v>
      </c>
      <c r="B910" s="35"/>
      <c r="C910" s="15">
        <v>3400</v>
      </c>
      <c r="D910" s="29">
        <f t="shared" si="14"/>
        <v>0.68</v>
      </c>
      <c r="E910" s="10"/>
      <c r="F910" s="10"/>
      <c r="G910" s="15"/>
      <c r="H910" s="11"/>
    </row>
    <row r="911" spans="1:8" ht="17.399999999999999" x14ac:dyDescent="0.25">
      <c r="A911" s="32" t="s">
        <v>4</v>
      </c>
      <c r="B911" s="33"/>
      <c r="C911" s="16">
        <v>5000</v>
      </c>
      <c r="D911" s="30" t="str">
        <f t="shared" si="14"/>
        <v/>
      </c>
      <c r="E911" s="13"/>
      <c r="F911" s="13"/>
      <c r="G911" s="16"/>
      <c r="H911" s="14"/>
    </row>
    <row r="912" spans="1:8" ht="17.399999999999999" x14ac:dyDescent="0.25">
      <c r="A912" s="34" t="s">
        <v>455</v>
      </c>
      <c r="B912" s="35"/>
      <c r="C912" s="15">
        <v>1555.2</v>
      </c>
      <c r="D912" s="29">
        <f t="shared" si="14"/>
        <v>0.38880000000000003</v>
      </c>
      <c r="E912" s="10"/>
      <c r="F912" s="10"/>
      <c r="G912" s="15"/>
      <c r="H912" s="11"/>
    </row>
    <row r="913" spans="1:8" ht="17.399999999999999" x14ac:dyDescent="0.25">
      <c r="A913" s="32" t="s">
        <v>4</v>
      </c>
      <c r="B913" s="33"/>
      <c r="C913" s="16">
        <v>4000</v>
      </c>
      <c r="D913" s="30" t="str">
        <f t="shared" si="14"/>
        <v/>
      </c>
      <c r="E913" s="13"/>
      <c r="F913" s="13"/>
      <c r="G913" s="16"/>
      <c r="H913" s="14"/>
    </row>
    <row r="914" spans="1:8" ht="17.399999999999999" x14ac:dyDescent="0.25">
      <c r="A914" s="34" t="s">
        <v>456</v>
      </c>
      <c r="B914" s="35"/>
      <c r="C914" s="15">
        <v>2293.92</v>
      </c>
      <c r="D914" s="29">
        <f t="shared" si="14"/>
        <v>0.38880000000000003</v>
      </c>
      <c r="E914" s="10"/>
      <c r="F914" s="10"/>
      <c r="G914" s="15"/>
      <c r="H914" s="11"/>
    </row>
    <row r="915" spans="1:8" ht="17.399999999999999" x14ac:dyDescent="0.25">
      <c r="A915" s="32" t="s">
        <v>4</v>
      </c>
      <c r="B915" s="33"/>
      <c r="C915" s="16">
        <v>5900</v>
      </c>
      <c r="D915" s="30" t="str">
        <f t="shared" si="14"/>
        <v/>
      </c>
      <c r="E915" s="13"/>
      <c r="F915" s="13"/>
      <c r="G915" s="16"/>
      <c r="H915" s="14"/>
    </row>
    <row r="916" spans="1:8" ht="17.399999999999999" x14ac:dyDescent="0.25">
      <c r="A916" s="34" t="s">
        <v>457</v>
      </c>
      <c r="B916" s="35"/>
      <c r="C916" s="15">
        <v>1929.79</v>
      </c>
      <c r="D916" s="29">
        <f t="shared" si="14"/>
        <v>0.74222692307692306</v>
      </c>
      <c r="E916" s="10"/>
      <c r="F916" s="10"/>
      <c r="G916" s="15"/>
      <c r="H916" s="11"/>
    </row>
    <row r="917" spans="1:8" ht="17.399999999999999" x14ac:dyDescent="0.25">
      <c r="A917" s="32" t="s">
        <v>4</v>
      </c>
      <c r="B917" s="33"/>
      <c r="C917" s="16">
        <v>2600</v>
      </c>
      <c r="D917" s="30" t="str">
        <f t="shared" si="14"/>
        <v/>
      </c>
      <c r="E917" s="13"/>
      <c r="F917" s="13"/>
      <c r="G917" s="16"/>
      <c r="H917" s="14"/>
    </row>
    <row r="918" spans="1:8" ht="17.399999999999999" x14ac:dyDescent="0.25">
      <c r="A918" s="34" t="s">
        <v>458</v>
      </c>
      <c r="B918" s="35"/>
      <c r="C918" s="9">
        <v>508.3</v>
      </c>
      <c r="D918" s="29">
        <f t="shared" si="14"/>
        <v>0.39100000000000001</v>
      </c>
      <c r="E918" s="10"/>
      <c r="F918" s="10"/>
      <c r="G918" s="9"/>
      <c r="H918" s="11"/>
    </row>
    <row r="919" spans="1:8" ht="17.399999999999999" x14ac:dyDescent="0.25">
      <c r="A919" s="32" t="s">
        <v>4</v>
      </c>
      <c r="B919" s="33"/>
      <c r="C919" s="16">
        <v>1300</v>
      </c>
      <c r="D919" s="30" t="str">
        <f t="shared" si="14"/>
        <v/>
      </c>
      <c r="E919" s="13"/>
      <c r="F919" s="13"/>
      <c r="G919" s="16"/>
      <c r="H919" s="14"/>
    </row>
    <row r="920" spans="1:8" ht="17.399999999999999" x14ac:dyDescent="0.25">
      <c r="A920" s="34" t="s">
        <v>459</v>
      </c>
      <c r="B920" s="35"/>
      <c r="C920" s="9">
        <v>430.1</v>
      </c>
      <c r="D920" s="29">
        <f t="shared" si="14"/>
        <v>0.39100000000000001</v>
      </c>
      <c r="E920" s="10"/>
      <c r="F920" s="10"/>
      <c r="G920" s="9"/>
      <c r="H920" s="11"/>
    </row>
    <row r="921" spans="1:8" ht="17.399999999999999" x14ac:dyDescent="0.25">
      <c r="A921" s="32" t="s">
        <v>4</v>
      </c>
      <c r="B921" s="33"/>
      <c r="C921" s="16">
        <v>1100</v>
      </c>
      <c r="D921" s="30" t="str">
        <f t="shared" si="14"/>
        <v/>
      </c>
      <c r="E921" s="13"/>
      <c r="F921" s="13"/>
      <c r="G921" s="16"/>
      <c r="H921" s="14"/>
    </row>
    <row r="922" spans="1:8" ht="17.399999999999999" x14ac:dyDescent="0.25">
      <c r="A922" s="34" t="s">
        <v>460</v>
      </c>
      <c r="B922" s="35"/>
      <c r="C922" s="15">
        <v>2544.48</v>
      </c>
      <c r="D922" s="29">
        <f t="shared" si="14"/>
        <v>0.50889600000000002</v>
      </c>
      <c r="E922" s="10"/>
      <c r="F922" s="10"/>
      <c r="G922" s="15"/>
      <c r="H922" s="11"/>
    </row>
    <row r="923" spans="1:8" ht="17.399999999999999" x14ac:dyDescent="0.25">
      <c r="A923" s="32" t="s">
        <v>4</v>
      </c>
      <c r="B923" s="33"/>
      <c r="C923" s="16">
        <v>5000</v>
      </c>
      <c r="D923" s="30" t="str">
        <f t="shared" si="14"/>
        <v/>
      </c>
      <c r="E923" s="13"/>
      <c r="F923" s="13"/>
      <c r="G923" s="16"/>
      <c r="H923" s="14"/>
    </row>
    <row r="924" spans="1:8" ht="17.399999999999999" x14ac:dyDescent="0.25">
      <c r="A924" s="34" t="s">
        <v>461</v>
      </c>
      <c r="B924" s="35"/>
      <c r="C924" s="15">
        <v>1526.69</v>
      </c>
      <c r="D924" s="29">
        <f t="shared" si="14"/>
        <v>0.50889666666666666</v>
      </c>
      <c r="E924" s="10"/>
      <c r="F924" s="10"/>
      <c r="G924" s="15"/>
      <c r="H924" s="11"/>
    </row>
    <row r="925" spans="1:8" ht="17.399999999999999" x14ac:dyDescent="0.25">
      <c r="A925" s="32" t="s">
        <v>4</v>
      </c>
      <c r="B925" s="33"/>
      <c r="C925" s="16">
        <v>3000</v>
      </c>
      <c r="D925" s="30" t="str">
        <f t="shared" si="14"/>
        <v/>
      </c>
      <c r="E925" s="13"/>
      <c r="F925" s="13"/>
      <c r="G925" s="16"/>
      <c r="H925" s="14"/>
    </row>
    <row r="926" spans="1:8" ht="17.399999999999999" x14ac:dyDescent="0.25">
      <c r="A926" s="34" t="s">
        <v>462</v>
      </c>
      <c r="B926" s="35"/>
      <c r="C926" s="15">
        <v>5885</v>
      </c>
      <c r="D926" s="29">
        <f t="shared" si="14"/>
        <v>0.55000000000000004</v>
      </c>
      <c r="E926" s="10"/>
      <c r="F926" s="10"/>
      <c r="G926" s="15"/>
      <c r="H926" s="11"/>
    </row>
    <row r="927" spans="1:8" ht="17.399999999999999" x14ac:dyDescent="0.25">
      <c r="A927" s="32" t="s">
        <v>4</v>
      </c>
      <c r="B927" s="33"/>
      <c r="C927" s="16">
        <v>10700</v>
      </c>
      <c r="D927" s="30" t="str">
        <f t="shared" si="14"/>
        <v/>
      </c>
      <c r="E927" s="13"/>
      <c r="F927" s="13"/>
      <c r="G927" s="16"/>
      <c r="H927" s="14"/>
    </row>
    <row r="928" spans="1:8" ht="17.399999999999999" x14ac:dyDescent="0.25">
      <c r="A928" s="34" t="s">
        <v>463</v>
      </c>
      <c r="B928" s="35"/>
      <c r="C928" s="15">
        <v>7040</v>
      </c>
      <c r="D928" s="29">
        <f t="shared" si="14"/>
        <v>0.55000000000000004</v>
      </c>
      <c r="E928" s="10"/>
      <c r="F928" s="10"/>
      <c r="G928" s="15"/>
      <c r="H928" s="11"/>
    </row>
    <row r="929" spans="1:8" ht="17.399999999999999" x14ac:dyDescent="0.25">
      <c r="A929" s="32" t="s">
        <v>4</v>
      </c>
      <c r="B929" s="33"/>
      <c r="C929" s="16">
        <v>12800</v>
      </c>
      <c r="D929" s="30" t="str">
        <f t="shared" si="14"/>
        <v/>
      </c>
      <c r="E929" s="13"/>
      <c r="F929" s="13"/>
      <c r="G929" s="16"/>
      <c r="H929" s="14"/>
    </row>
    <row r="930" spans="1:8" ht="17.399999999999999" x14ac:dyDescent="0.25">
      <c r="A930" s="34" t="s">
        <v>464</v>
      </c>
      <c r="B930" s="35"/>
      <c r="C930" s="9">
        <v>793.15</v>
      </c>
      <c r="D930" s="29">
        <f t="shared" si="14"/>
        <v>6.6095833333333331</v>
      </c>
      <c r="E930" s="10"/>
      <c r="F930" s="10"/>
      <c r="G930" s="9"/>
      <c r="H930" s="11"/>
    </row>
    <row r="931" spans="1:8" ht="17.399999999999999" x14ac:dyDescent="0.25">
      <c r="A931" s="32" t="s">
        <v>4</v>
      </c>
      <c r="B931" s="33"/>
      <c r="C931" s="12">
        <v>120</v>
      </c>
      <c r="D931" s="30" t="str">
        <f t="shared" si="14"/>
        <v/>
      </c>
      <c r="E931" s="13"/>
      <c r="F931" s="13"/>
      <c r="G931" s="12"/>
      <c r="H931" s="14"/>
    </row>
    <row r="932" spans="1:8" ht="17.399999999999999" x14ac:dyDescent="0.25">
      <c r="A932" s="34" t="s">
        <v>465</v>
      </c>
      <c r="B932" s="35"/>
      <c r="C932" s="9">
        <v>713.83</v>
      </c>
      <c r="D932" s="29">
        <f t="shared" si="14"/>
        <v>6.609537037037037</v>
      </c>
      <c r="E932" s="10"/>
      <c r="F932" s="10"/>
      <c r="G932" s="9"/>
      <c r="H932" s="11"/>
    </row>
    <row r="933" spans="1:8" ht="17.399999999999999" x14ac:dyDescent="0.25">
      <c r="A933" s="32" t="s">
        <v>4</v>
      </c>
      <c r="B933" s="33"/>
      <c r="C933" s="12">
        <v>108</v>
      </c>
      <c r="D933" s="30" t="str">
        <f t="shared" si="14"/>
        <v/>
      </c>
      <c r="E933" s="13"/>
      <c r="F933" s="13"/>
      <c r="G933" s="12"/>
      <c r="H933" s="14"/>
    </row>
    <row r="934" spans="1:8" ht="17.399999999999999" x14ac:dyDescent="0.25">
      <c r="A934" s="34" t="s">
        <v>466</v>
      </c>
      <c r="B934" s="35"/>
      <c r="C934" s="9">
        <v>793.15</v>
      </c>
      <c r="D934" s="29">
        <f t="shared" si="14"/>
        <v>6.6095833333333331</v>
      </c>
      <c r="E934" s="10"/>
      <c r="F934" s="10"/>
      <c r="G934" s="9"/>
      <c r="H934" s="11"/>
    </row>
    <row r="935" spans="1:8" ht="17.399999999999999" x14ac:dyDescent="0.25">
      <c r="A935" s="32" t="s">
        <v>4</v>
      </c>
      <c r="B935" s="33"/>
      <c r="C935" s="12">
        <v>120</v>
      </c>
      <c r="D935" s="30" t="str">
        <f t="shared" si="14"/>
        <v/>
      </c>
      <c r="E935" s="13"/>
      <c r="F935" s="13"/>
      <c r="G935" s="12"/>
      <c r="H935" s="14"/>
    </row>
    <row r="936" spans="1:8" ht="17.399999999999999" x14ac:dyDescent="0.25">
      <c r="A936" s="34" t="s">
        <v>467</v>
      </c>
      <c r="B936" s="35"/>
      <c r="C936" s="15">
        <v>1947.37</v>
      </c>
      <c r="D936" s="29">
        <f t="shared" si="14"/>
        <v>7.3764015151515148</v>
      </c>
      <c r="E936" s="10"/>
      <c r="F936" s="10"/>
      <c r="G936" s="15"/>
      <c r="H936" s="11"/>
    </row>
    <row r="937" spans="1:8" ht="17.399999999999999" x14ac:dyDescent="0.25">
      <c r="A937" s="32" t="s">
        <v>4</v>
      </c>
      <c r="B937" s="33"/>
      <c r="C937" s="12">
        <v>264</v>
      </c>
      <c r="D937" s="30" t="str">
        <f t="shared" si="14"/>
        <v/>
      </c>
      <c r="E937" s="13"/>
      <c r="F937" s="13"/>
      <c r="G937" s="12"/>
      <c r="H937" s="14"/>
    </row>
    <row r="938" spans="1:8" ht="17.399999999999999" x14ac:dyDescent="0.25">
      <c r="A938" s="34" t="s">
        <v>468</v>
      </c>
      <c r="B938" s="35"/>
      <c r="C938" s="9">
        <v>46.22</v>
      </c>
      <c r="D938" s="29">
        <f t="shared" si="14"/>
        <v>46.22</v>
      </c>
      <c r="E938" s="10"/>
      <c r="F938" s="10"/>
      <c r="G938" s="9"/>
      <c r="H938" s="11"/>
    </row>
    <row r="939" spans="1:8" ht="17.399999999999999" x14ac:dyDescent="0.25">
      <c r="A939" s="32" t="s">
        <v>4</v>
      </c>
      <c r="B939" s="33"/>
      <c r="C939" s="12">
        <v>1</v>
      </c>
      <c r="D939" s="30" t="str">
        <f t="shared" si="14"/>
        <v/>
      </c>
      <c r="E939" s="13"/>
      <c r="F939" s="13"/>
      <c r="G939" s="12"/>
      <c r="H939" s="14"/>
    </row>
    <row r="940" spans="1:8" ht="17.399999999999999" x14ac:dyDescent="0.25">
      <c r="A940" s="34" t="s">
        <v>469</v>
      </c>
      <c r="B940" s="35"/>
      <c r="C940" s="15">
        <v>3214.07</v>
      </c>
      <c r="D940" s="29">
        <f t="shared" si="14"/>
        <v>2.3290362318840581</v>
      </c>
      <c r="E940" s="10"/>
      <c r="F940" s="10"/>
      <c r="G940" s="15"/>
      <c r="H940" s="11"/>
    </row>
    <row r="941" spans="1:8" ht="17.399999999999999" x14ac:dyDescent="0.25">
      <c r="A941" s="32" t="s">
        <v>4</v>
      </c>
      <c r="B941" s="33"/>
      <c r="C941" s="16">
        <v>1380</v>
      </c>
      <c r="D941" s="30" t="str">
        <f t="shared" si="14"/>
        <v/>
      </c>
      <c r="E941" s="13"/>
      <c r="F941" s="13"/>
      <c r="G941" s="16"/>
      <c r="H941" s="14"/>
    </row>
    <row r="942" spans="1:8" ht="17.399999999999999" x14ac:dyDescent="0.25">
      <c r="A942" s="34" t="s">
        <v>470</v>
      </c>
      <c r="B942" s="35"/>
      <c r="C942" s="9">
        <v>150</v>
      </c>
      <c r="D942" s="29">
        <f t="shared" si="14"/>
        <v>2.5</v>
      </c>
      <c r="E942" s="10"/>
      <c r="F942" s="10"/>
      <c r="G942" s="9"/>
      <c r="H942" s="11"/>
    </row>
    <row r="943" spans="1:8" ht="17.399999999999999" x14ac:dyDescent="0.25">
      <c r="A943" s="32" t="s">
        <v>4</v>
      </c>
      <c r="B943" s="33"/>
      <c r="C943" s="12">
        <v>60</v>
      </c>
      <c r="D943" s="30" t="str">
        <f t="shared" si="14"/>
        <v/>
      </c>
      <c r="E943" s="13"/>
      <c r="F943" s="13"/>
      <c r="G943" s="12"/>
      <c r="H943" s="14"/>
    </row>
    <row r="944" spans="1:8" ht="17.399999999999999" x14ac:dyDescent="0.25">
      <c r="A944" s="34" t="s">
        <v>471</v>
      </c>
      <c r="B944" s="35"/>
      <c r="C944" s="9">
        <v>750.38</v>
      </c>
      <c r="D944" s="29">
        <f t="shared" si="14"/>
        <v>37.518999999999998</v>
      </c>
      <c r="E944" s="10"/>
      <c r="F944" s="10"/>
      <c r="G944" s="9"/>
      <c r="H944" s="11"/>
    </row>
    <row r="945" spans="1:8" ht="17.399999999999999" x14ac:dyDescent="0.25">
      <c r="A945" s="32" t="s">
        <v>4</v>
      </c>
      <c r="B945" s="33"/>
      <c r="C945" s="12">
        <v>20</v>
      </c>
      <c r="D945" s="30" t="str">
        <f t="shared" si="14"/>
        <v/>
      </c>
      <c r="E945" s="13"/>
      <c r="F945" s="13"/>
      <c r="G945" s="12"/>
      <c r="H945" s="14"/>
    </row>
    <row r="946" spans="1:8" ht="17.399999999999999" x14ac:dyDescent="0.25">
      <c r="A946" s="34" t="s">
        <v>472</v>
      </c>
      <c r="B946" s="35"/>
      <c r="C946" s="15">
        <v>1111.3599999999999</v>
      </c>
      <c r="D946" s="29">
        <f t="shared" si="14"/>
        <v>44.454399999999993</v>
      </c>
      <c r="E946" s="10"/>
      <c r="F946" s="10"/>
      <c r="G946" s="15"/>
      <c r="H946" s="11"/>
    </row>
    <row r="947" spans="1:8" ht="17.399999999999999" x14ac:dyDescent="0.25">
      <c r="A947" s="32" t="s">
        <v>4</v>
      </c>
      <c r="B947" s="33"/>
      <c r="C947" s="12">
        <v>25</v>
      </c>
      <c r="D947" s="30" t="str">
        <f t="shared" si="14"/>
        <v/>
      </c>
      <c r="E947" s="13"/>
      <c r="F947" s="13"/>
      <c r="G947" s="12"/>
      <c r="H947" s="14"/>
    </row>
    <row r="948" spans="1:8" ht="17.399999999999999" x14ac:dyDescent="0.25">
      <c r="A948" s="34" t="s">
        <v>473</v>
      </c>
      <c r="B948" s="35"/>
      <c r="C948" s="9">
        <v>544.1</v>
      </c>
      <c r="D948" s="29">
        <f t="shared" si="14"/>
        <v>1.7003125000000001</v>
      </c>
      <c r="E948" s="10"/>
      <c r="F948" s="10"/>
      <c r="G948" s="9"/>
      <c r="H948" s="11"/>
    </row>
    <row r="949" spans="1:8" ht="17.399999999999999" x14ac:dyDescent="0.25">
      <c r="A949" s="32" t="s">
        <v>4</v>
      </c>
      <c r="B949" s="33"/>
      <c r="C949" s="12">
        <v>320</v>
      </c>
      <c r="D949" s="30" t="str">
        <f t="shared" si="14"/>
        <v/>
      </c>
      <c r="E949" s="13"/>
      <c r="F949" s="13"/>
      <c r="G949" s="12"/>
      <c r="H949" s="14"/>
    </row>
    <row r="950" spans="1:8" ht="17.399999999999999" x14ac:dyDescent="0.25">
      <c r="A950" s="34" t="s">
        <v>474</v>
      </c>
      <c r="B950" s="35"/>
      <c r="C950" s="15">
        <v>2065.04</v>
      </c>
      <c r="D950" s="29">
        <f t="shared" si="14"/>
        <v>172.08666666666667</v>
      </c>
      <c r="E950" s="10"/>
      <c r="F950" s="10"/>
      <c r="G950" s="15"/>
      <c r="H950" s="11"/>
    </row>
    <row r="951" spans="1:8" ht="17.399999999999999" x14ac:dyDescent="0.25">
      <c r="A951" s="32" t="s">
        <v>4</v>
      </c>
      <c r="B951" s="33"/>
      <c r="C951" s="12">
        <v>12</v>
      </c>
      <c r="D951" s="30" t="str">
        <f t="shared" si="14"/>
        <v/>
      </c>
      <c r="E951" s="13"/>
      <c r="F951" s="13"/>
      <c r="G951" s="12"/>
      <c r="H951" s="14"/>
    </row>
    <row r="952" spans="1:8" ht="17.399999999999999" x14ac:dyDescent="0.25">
      <c r="A952" s="34" t="s">
        <v>475</v>
      </c>
      <c r="B952" s="35"/>
      <c r="C952" s="15">
        <v>2172.84</v>
      </c>
      <c r="D952" s="29">
        <f t="shared" si="14"/>
        <v>54.321000000000005</v>
      </c>
      <c r="E952" s="10"/>
      <c r="F952" s="10"/>
      <c r="G952" s="15"/>
      <c r="H952" s="11"/>
    </row>
    <row r="953" spans="1:8" ht="17.399999999999999" x14ac:dyDescent="0.25">
      <c r="A953" s="32" t="s">
        <v>4</v>
      </c>
      <c r="B953" s="33"/>
      <c r="C953" s="12">
        <v>40</v>
      </c>
      <c r="D953" s="30" t="str">
        <f t="shared" si="14"/>
        <v/>
      </c>
      <c r="E953" s="13"/>
      <c r="F953" s="13"/>
      <c r="G953" s="12"/>
      <c r="H953" s="14"/>
    </row>
    <row r="954" spans="1:8" ht="17.399999999999999" x14ac:dyDescent="0.25">
      <c r="A954" s="34" t="s">
        <v>476</v>
      </c>
      <c r="B954" s="35"/>
      <c r="C954" s="15">
        <v>3168.08</v>
      </c>
      <c r="D954" s="29">
        <f t="shared" si="14"/>
        <v>396.01</v>
      </c>
      <c r="E954" s="10"/>
      <c r="F954" s="10"/>
      <c r="G954" s="15"/>
      <c r="H954" s="11"/>
    </row>
    <row r="955" spans="1:8" ht="17.399999999999999" x14ac:dyDescent="0.25">
      <c r="A955" s="32" t="s">
        <v>4</v>
      </c>
      <c r="B955" s="33"/>
      <c r="C955" s="12">
        <v>8</v>
      </c>
      <c r="D955" s="30" t="str">
        <f t="shared" si="14"/>
        <v/>
      </c>
      <c r="E955" s="13"/>
      <c r="F955" s="13"/>
      <c r="G955" s="12"/>
      <c r="H955" s="14"/>
    </row>
    <row r="956" spans="1:8" ht="17.399999999999999" x14ac:dyDescent="0.25">
      <c r="A956" s="34" t="s">
        <v>477</v>
      </c>
      <c r="B956" s="35"/>
      <c r="C956" s="9">
        <v>578.34</v>
      </c>
      <c r="D956" s="29">
        <f t="shared" si="14"/>
        <v>57.834000000000003</v>
      </c>
      <c r="E956" s="10"/>
      <c r="F956" s="10"/>
      <c r="G956" s="9"/>
      <c r="H956" s="11"/>
    </row>
    <row r="957" spans="1:8" ht="17.399999999999999" x14ac:dyDescent="0.25">
      <c r="A957" s="32" t="s">
        <v>4</v>
      </c>
      <c r="B957" s="33"/>
      <c r="C957" s="12">
        <v>10</v>
      </c>
      <c r="D957" s="30" t="str">
        <f t="shared" si="14"/>
        <v/>
      </c>
      <c r="E957" s="13"/>
      <c r="F957" s="13"/>
      <c r="G957" s="12"/>
      <c r="H957" s="14"/>
    </row>
    <row r="958" spans="1:8" ht="17.399999999999999" x14ac:dyDescent="0.25">
      <c r="A958" s="34" t="s">
        <v>478</v>
      </c>
      <c r="B958" s="35"/>
      <c r="C958" s="9">
        <v>294.05</v>
      </c>
      <c r="D958" s="29">
        <f t="shared" si="14"/>
        <v>0.98016666666666674</v>
      </c>
      <c r="E958" s="10"/>
      <c r="F958" s="10"/>
      <c r="G958" s="9"/>
      <c r="H958" s="11"/>
    </row>
    <row r="959" spans="1:8" ht="17.399999999999999" x14ac:dyDescent="0.25">
      <c r="A959" s="32" t="s">
        <v>4</v>
      </c>
      <c r="B959" s="33"/>
      <c r="C959" s="12">
        <v>300</v>
      </c>
      <c r="D959" s="30" t="str">
        <f t="shared" si="14"/>
        <v/>
      </c>
      <c r="E959" s="13"/>
      <c r="F959" s="13"/>
      <c r="G959" s="12"/>
      <c r="H959" s="14"/>
    </row>
    <row r="960" spans="1:8" ht="17.399999999999999" x14ac:dyDescent="0.25">
      <c r="A960" s="34" t="s">
        <v>479</v>
      </c>
      <c r="B960" s="35"/>
      <c r="C960" s="15">
        <v>4888.12</v>
      </c>
      <c r="D960" s="29">
        <f t="shared" si="14"/>
        <v>1.369221288515406</v>
      </c>
      <c r="E960" s="10"/>
      <c r="F960" s="10"/>
      <c r="G960" s="15"/>
      <c r="H960" s="11"/>
    </row>
    <row r="961" spans="1:8" ht="17.399999999999999" x14ac:dyDescent="0.25">
      <c r="A961" s="32" t="s">
        <v>4</v>
      </c>
      <c r="B961" s="33"/>
      <c r="C961" s="16">
        <v>3570</v>
      </c>
      <c r="D961" s="30" t="str">
        <f t="shared" si="14"/>
        <v/>
      </c>
      <c r="E961" s="13"/>
      <c r="F961" s="13"/>
      <c r="G961" s="16"/>
      <c r="H961" s="14"/>
    </row>
    <row r="962" spans="1:8" ht="17.399999999999999" x14ac:dyDescent="0.25">
      <c r="A962" s="34" t="s">
        <v>480</v>
      </c>
      <c r="B962" s="35"/>
      <c r="C962" s="9">
        <v>87.16</v>
      </c>
      <c r="D962" s="29">
        <f t="shared" si="14"/>
        <v>0.72633333333333328</v>
      </c>
      <c r="E962" s="10"/>
      <c r="F962" s="10"/>
      <c r="G962" s="9"/>
      <c r="H962" s="11"/>
    </row>
    <row r="963" spans="1:8" ht="17.399999999999999" x14ac:dyDescent="0.25">
      <c r="A963" s="32" t="s">
        <v>4</v>
      </c>
      <c r="B963" s="33"/>
      <c r="C963" s="12">
        <v>120</v>
      </c>
      <c r="D963" s="30" t="str">
        <f t="shared" si="14"/>
        <v/>
      </c>
      <c r="E963" s="13"/>
      <c r="F963" s="13"/>
      <c r="G963" s="12"/>
      <c r="H963" s="14"/>
    </row>
    <row r="964" spans="1:8" ht="17.399999999999999" x14ac:dyDescent="0.25">
      <c r="A964" s="34" t="s">
        <v>481</v>
      </c>
      <c r="B964" s="35"/>
      <c r="C964" s="9">
        <v>251.31</v>
      </c>
      <c r="D964" s="29">
        <f t="shared" si="14"/>
        <v>0.41885</v>
      </c>
      <c r="E964" s="10"/>
      <c r="F964" s="10"/>
      <c r="G964" s="9"/>
      <c r="H964" s="11"/>
    </row>
    <row r="965" spans="1:8" ht="17.399999999999999" x14ac:dyDescent="0.25">
      <c r="A965" s="32" t="s">
        <v>4</v>
      </c>
      <c r="B965" s="33"/>
      <c r="C965" s="12">
        <v>600</v>
      </c>
      <c r="D965" s="30" t="str">
        <f t="shared" si="14"/>
        <v/>
      </c>
      <c r="E965" s="13"/>
      <c r="F965" s="13"/>
      <c r="G965" s="12"/>
      <c r="H965" s="14"/>
    </row>
    <row r="966" spans="1:8" ht="17.399999999999999" x14ac:dyDescent="0.25">
      <c r="A966" s="34" t="s">
        <v>482</v>
      </c>
      <c r="B966" s="35"/>
      <c r="C966" s="9">
        <v>264.55</v>
      </c>
      <c r="D966" s="29">
        <f t="shared" si="14"/>
        <v>11.502173913043478</v>
      </c>
      <c r="E966" s="10"/>
      <c r="F966" s="10"/>
      <c r="G966" s="9"/>
      <c r="H966" s="11"/>
    </row>
    <row r="967" spans="1:8" ht="17.399999999999999" x14ac:dyDescent="0.25">
      <c r="A967" s="32" t="s">
        <v>4</v>
      </c>
      <c r="B967" s="33"/>
      <c r="C967" s="12">
        <v>23</v>
      </c>
      <c r="D967" s="30" t="str">
        <f t="shared" si="14"/>
        <v/>
      </c>
      <c r="E967" s="13"/>
      <c r="F967" s="13"/>
      <c r="G967" s="12"/>
      <c r="H967" s="14"/>
    </row>
    <row r="968" spans="1:8" ht="17.399999999999999" x14ac:dyDescent="0.25">
      <c r="A968" s="34" t="s">
        <v>483</v>
      </c>
      <c r="B968" s="35"/>
      <c r="C968" s="9">
        <v>112.06</v>
      </c>
      <c r="D968" s="29">
        <f t="shared" si="14"/>
        <v>0.41503703703703704</v>
      </c>
      <c r="E968" s="10"/>
      <c r="F968" s="10"/>
      <c r="G968" s="9"/>
      <c r="H968" s="11"/>
    </row>
    <row r="969" spans="1:8" ht="17.399999999999999" x14ac:dyDescent="0.25">
      <c r="A969" s="32" t="s">
        <v>4</v>
      </c>
      <c r="B969" s="33"/>
      <c r="C969" s="12">
        <v>270</v>
      </c>
      <c r="D969" s="30" t="str">
        <f t="shared" si="14"/>
        <v/>
      </c>
      <c r="E969" s="13"/>
      <c r="F969" s="13"/>
      <c r="G969" s="12"/>
      <c r="H969" s="14"/>
    </row>
    <row r="970" spans="1:8" ht="17.399999999999999" x14ac:dyDescent="0.25">
      <c r="A970" s="34" t="s">
        <v>484</v>
      </c>
      <c r="B970" s="35"/>
      <c r="C970" s="9">
        <v>30.43</v>
      </c>
      <c r="D970" s="29">
        <f t="shared" ref="D970:D1033" si="15">IF($A971="Кол-во",IFERROR($C970/$C971,""),"")</f>
        <v>3.0430000000000001</v>
      </c>
      <c r="E970" s="10"/>
      <c r="F970" s="10"/>
      <c r="G970" s="9"/>
      <c r="H970" s="11"/>
    </row>
    <row r="971" spans="1:8" ht="17.399999999999999" x14ac:dyDescent="0.25">
      <c r="A971" s="32" t="s">
        <v>4</v>
      </c>
      <c r="B971" s="33"/>
      <c r="C971" s="12">
        <v>10</v>
      </c>
      <c r="D971" s="30" t="str">
        <f t="shared" si="15"/>
        <v/>
      </c>
      <c r="E971" s="13"/>
      <c r="F971" s="13"/>
      <c r="G971" s="12"/>
      <c r="H971" s="14"/>
    </row>
    <row r="972" spans="1:8" ht="17.399999999999999" x14ac:dyDescent="0.25">
      <c r="A972" s="34" t="s">
        <v>485</v>
      </c>
      <c r="B972" s="35"/>
      <c r="C972" s="15">
        <v>1935.23</v>
      </c>
      <c r="D972" s="29">
        <f t="shared" si="15"/>
        <v>0.87172522522522522</v>
      </c>
      <c r="E972" s="10"/>
      <c r="F972" s="10"/>
      <c r="G972" s="15"/>
      <c r="H972" s="11"/>
    </row>
    <row r="973" spans="1:8" ht="17.399999999999999" x14ac:dyDescent="0.25">
      <c r="A973" s="32" t="s">
        <v>4</v>
      </c>
      <c r="B973" s="33"/>
      <c r="C973" s="16">
        <v>2220</v>
      </c>
      <c r="D973" s="30" t="str">
        <f t="shared" si="15"/>
        <v/>
      </c>
      <c r="E973" s="13"/>
      <c r="F973" s="13"/>
      <c r="G973" s="16"/>
      <c r="H973" s="14"/>
    </row>
    <row r="974" spans="1:8" ht="17.399999999999999" x14ac:dyDescent="0.25">
      <c r="A974" s="34" t="s">
        <v>486</v>
      </c>
      <c r="B974" s="35"/>
      <c r="C974" s="9">
        <v>129.41999999999999</v>
      </c>
      <c r="D974" s="29">
        <f t="shared" si="15"/>
        <v>2.5883999999999996</v>
      </c>
      <c r="E974" s="10"/>
      <c r="F974" s="10"/>
      <c r="G974" s="9"/>
      <c r="H974" s="11"/>
    </row>
    <row r="975" spans="1:8" ht="17.399999999999999" x14ac:dyDescent="0.25">
      <c r="A975" s="32" t="s">
        <v>4</v>
      </c>
      <c r="B975" s="33"/>
      <c r="C975" s="12">
        <v>50</v>
      </c>
      <c r="D975" s="30" t="str">
        <f t="shared" si="15"/>
        <v/>
      </c>
      <c r="E975" s="13"/>
      <c r="F975" s="13"/>
      <c r="G975" s="12"/>
      <c r="H975" s="14"/>
    </row>
    <row r="976" spans="1:8" ht="17.399999999999999" x14ac:dyDescent="0.25">
      <c r="A976" s="34" t="s">
        <v>487</v>
      </c>
      <c r="B976" s="35"/>
      <c r="C976" s="15">
        <v>1174.95</v>
      </c>
      <c r="D976" s="29">
        <f t="shared" si="15"/>
        <v>0.86393382352941184</v>
      </c>
      <c r="E976" s="10"/>
      <c r="F976" s="10"/>
      <c r="G976" s="15"/>
      <c r="H976" s="11"/>
    </row>
    <row r="977" spans="1:8" ht="17.399999999999999" x14ac:dyDescent="0.25">
      <c r="A977" s="32" t="s">
        <v>4</v>
      </c>
      <c r="B977" s="33"/>
      <c r="C977" s="16">
        <v>1360</v>
      </c>
      <c r="D977" s="30" t="str">
        <f t="shared" si="15"/>
        <v/>
      </c>
      <c r="E977" s="13"/>
      <c r="F977" s="13"/>
      <c r="G977" s="16"/>
      <c r="H977" s="14"/>
    </row>
    <row r="978" spans="1:8" ht="17.399999999999999" x14ac:dyDescent="0.25">
      <c r="A978" s="34" t="s">
        <v>488</v>
      </c>
      <c r="B978" s="35"/>
      <c r="C978" s="9">
        <v>313.5</v>
      </c>
      <c r="D978" s="29">
        <f t="shared" si="15"/>
        <v>0.56999999999999995</v>
      </c>
      <c r="E978" s="10"/>
      <c r="F978" s="10"/>
      <c r="G978" s="9"/>
      <c r="H978" s="11"/>
    </row>
    <row r="979" spans="1:8" ht="17.399999999999999" x14ac:dyDescent="0.25">
      <c r="A979" s="32" t="s">
        <v>4</v>
      </c>
      <c r="B979" s="33"/>
      <c r="C979" s="12">
        <v>550</v>
      </c>
      <c r="D979" s="30" t="str">
        <f t="shared" si="15"/>
        <v/>
      </c>
      <c r="E979" s="13"/>
      <c r="F979" s="13"/>
      <c r="G979" s="12"/>
      <c r="H979" s="14"/>
    </row>
    <row r="980" spans="1:8" ht="17.399999999999999" x14ac:dyDescent="0.25">
      <c r="A980" s="34" t="s">
        <v>489</v>
      </c>
      <c r="B980" s="35"/>
      <c r="C980" s="9">
        <v>756</v>
      </c>
      <c r="D980" s="29">
        <f t="shared" si="15"/>
        <v>0.54</v>
      </c>
      <c r="E980" s="10"/>
      <c r="F980" s="10"/>
      <c r="G980" s="9"/>
      <c r="H980" s="11"/>
    </row>
    <row r="981" spans="1:8" ht="17.399999999999999" x14ac:dyDescent="0.25">
      <c r="A981" s="32" t="s">
        <v>4</v>
      </c>
      <c r="B981" s="33"/>
      <c r="C981" s="16">
        <v>1400</v>
      </c>
      <c r="D981" s="30" t="str">
        <f t="shared" si="15"/>
        <v/>
      </c>
      <c r="E981" s="13"/>
      <c r="F981" s="13"/>
      <c r="G981" s="16"/>
      <c r="H981" s="14"/>
    </row>
    <row r="982" spans="1:8" ht="17.399999999999999" x14ac:dyDescent="0.25">
      <c r="A982" s="34" t="s">
        <v>490</v>
      </c>
      <c r="B982" s="35"/>
      <c r="C982" s="15">
        <v>1311.48</v>
      </c>
      <c r="D982" s="29">
        <f t="shared" si="15"/>
        <v>0.58810762331838562</v>
      </c>
      <c r="E982" s="10"/>
      <c r="F982" s="10"/>
      <c r="G982" s="15"/>
      <c r="H982" s="11"/>
    </row>
    <row r="983" spans="1:8" ht="17.399999999999999" x14ac:dyDescent="0.25">
      <c r="A983" s="32" t="s">
        <v>4</v>
      </c>
      <c r="B983" s="33"/>
      <c r="C983" s="16">
        <v>2230</v>
      </c>
      <c r="D983" s="30" t="str">
        <f t="shared" si="15"/>
        <v/>
      </c>
      <c r="E983" s="13"/>
      <c r="F983" s="13"/>
      <c r="G983" s="16"/>
      <c r="H983" s="14"/>
    </row>
    <row r="984" spans="1:8" ht="17.399999999999999" x14ac:dyDescent="0.25">
      <c r="A984" s="34" t="s">
        <v>491</v>
      </c>
      <c r="B984" s="35"/>
      <c r="C984" s="9">
        <v>552</v>
      </c>
      <c r="D984" s="29">
        <f t="shared" si="15"/>
        <v>0.55200000000000005</v>
      </c>
      <c r="E984" s="10"/>
      <c r="F984" s="10"/>
      <c r="G984" s="9"/>
      <c r="H984" s="11"/>
    </row>
    <row r="985" spans="1:8" ht="17.399999999999999" x14ac:dyDescent="0.25">
      <c r="A985" s="32" t="s">
        <v>4</v>
      </c>
      <c r="B985" s="33"/>
      <c r="C985" s="16">
        <v>1000</v>
      </c>
      <c r="D985" s="30" t="str">
        <f t="shared" si="15"/>
        <v/>
      </c>
      <c r="E985" s="13"/>
      <c r="F985" s="13"/>
      <c r="G985" s="16"/>
      <c r="H985" s="14"/>
    </row>
    <row r="986" spans="1:8" ht="17.399999999999999" x14ac:dyDescent="0.25">
      <c r="A986" s="34" t="s">
        <v>492</v>
      </c>
      <c r="B986" s="35"/>
      <c r="C986" s="9">
        <v>29</v>
      </c>
      <c r="D986" s="29">
        <f t="shared" si="15"/>
        <v>0.57999999999999996</v>
      </c>
      <c r="E986" s="10"/>
      <c r="F986" s="10"/>
      <c r="G986" s="9"/>
      <c r="H986" s="11"/>
    </row>
    <row r="987" spans="1:8" ht="17.399999999999999" x14ac:dyDescent="0.25">
      <c r="A987" s="32" t="s">
        <v>4</v>
      </c>
      <c r="B987" s="33"/>
      <c r="C987" s="12">
        <v>50</v>
      </c>
      <c r="D987" s="30" t="str">
        <f t="shared" si="15"/>
        <v/>
      </c>
      <c r="E987" s="13"/>
      <c r="F987" s="13"/>
      <c r="G987" s="12"/>
      <c r="H987" s="14"/>
    </row>
    <row r="988" spans="1:8" ht="17.399999999999999" x14ac:dyDescent="0.25">
      <c r="A988" s="34" t="s">
        <v>493</v>
      </c>
      <c r="B988" s="35"/>
      <c r="C988" s="9">
        <v>540</v>
      </c>
      <c r="D988" s="29">
        <f t="shared" si="15"/>
        <v>0.54</v>
      </c>
      <c r="E988" s="10"/>
      <c r="F988" s="10"/>
      <c r="G988" s="9"/>
      <c r="H988" s="11"/>
    </row>
    <row r="989" spans="1:8" ht="17.399999999999999" x14ac:dyDescent="0.25">
      <c r="A989" s="32" t="s">
        <v>4</v>
      </c>
      <c r="B989" s="33"/>
      <c r="C989" s="16">
        <v>1000</v>
      </c>
      <c r="D989" s="30" t="str">
        <f t="shared" si="15"/>
        <v/>
      </c>
      <c r="E989" s="13"/>
      <c r="F989" s="13"/>
      <c r="G989" s="16"/>
      <c r="H989" s="14"/>
    </row>
    <row r="990" spans="1:8" ht="17.399999999999999" x14ac:dyDescent="0.25">
      <c r="A990" s="34" t="s">
        <v>494</v>
      </c>
      <c r="B990" s="35"/>
      <c r="C990" s="15">
        <v>2694.68</v>
      </c>
      <c r="D990" s="29">
        <f t="shared" si="15"/>
        <v>0.5579047619047619</v>
      </c>
      <c r="E990" s="10"/>
      <c r="F990" s="10"/>
      <c r="G990" s="15"/>
      <c r="H990" s="11"/>
    </row>
    <row r="991" spans="1:8" ht="17.399999999999999" x14ac:dyDescent="0.25">
      <c r="A991" s="32" t="s">
        <v>4</v>
      </c>
      <c r="B991" s="33"/>
      <c r="C991" s="16">
        <v>4830</v>
      </c>
      <c r="D991" s="30" t="str">
        <f t="shared" si="15"/>
        <v/>
      </c>
      <c r="E991" s="13"/>
      <c r="F991" s="13"/>
      <c r="G991" s="16"/>
      <c r="H991" s="14"/>
    </row>
    <row r="992" spans="1:8" ht="17.399999999999999" x14ac:dyDescent="0.25">
      <c r="A992" s="34" t="s">
        <v>495</v>
      </c>
      <c r="B992" s="35"/>
      <c r="C992" s="9">
        <v>902.8</v>
      </c>
      <c r="D992" s="29">
        <f t="shared" si="15"/>
        <v>0.54385542168674694</v>
      </c>
      <c r="E992" s="10"/>
      <c r="F992" s="10"/>
      <c r="G992" s="9"/>
      <c r="H992" s="11"/>
    </row>
    <row r="993" spans="1:8" ht="17.399999999999999" x14ac:dyDescent="0.25">
      <c r="A993" s="32" t="s">
        <v>4</v>
      </c>
      <c r="B993" s="33"/>
      <c r="C993" s="16">
        <v>1660</v>
      </c>
      <c r="D993" s="30" t="str">
        <f t="shared" si="15"/>
        <v/>
      </c>
      <c r="E993" s="13"/>
      <c r="F993" s="13"/>
      <c r="G993" s="16"/>
      <c r="H993" s="14"/>
    </row>
    <row r="994" spans="1:8" ht="17.399999999999999" x14ac:dyDescent="0.25">
      <c r="A994" s="34" t="s">
        <v>496</v>
      </c>
      <c r="B994" s="35"/>
      <c r="C994" s="9">
        <v>44.14</v>
      </c>
      <c r="D994" s="29">
        <f t="shared" si="15"/>
        <v>4.4139999999999997</v>
      </c>
      <c r="E994" s="10"/>
      <c r="F994" s="10"/>
      <c r="G994" s="9"/>
      <c r="H994" s="11"/>
    </row>
    <row r="995" spans="1:8" ht="17.399999999999999" x14ac:dyDescent="0.25">
      <c r="A995" s="32" t="s">
        <v>4</v>
      </c>
      <c r="B995" s="33"/>
      <c r="C995" s="12">
        <v>10</v>
      </c>
      <c r="D995" s="30" t="str">
        <f t="shared" si="15"/>
        <v/>
      </c>
      <c r="E995" s="13"/>
      <c r="F995" s="13"/>
      <c r="G995" s="12"/>
      <c r="H995" s="14"/>
    </row>
    <row r="996" spans="1:8" ht="17.399999999999999" x14ac:dyDescent="0.25">
      <c r="A996" s="34" t="s">
        <v>497</v>
      </c>
      <c r="B996" s="35"/>
      <c r="C996" s="9">
        <v>995.13</v>
      </c>
      <c r="D996" s="29">
        <f t="shared" si="15"/>
        <v>41.463749999999997</v>
      </c>
      <c r="E996" s="10"/>
      <c r="F996" s="10"/>
      <c r="G996" s="9"/>
      <c r="H996" s="11"/>
    </row>
    <row r="997" spans="1:8" ht="17.399999999999999" x14ac:dyDescent="0.25">
      <c r="A997" s="32" t="s">
        <v>4</v>
      </c>
      <c r="B997" s="33"/>
      <c r="C997" s="12">
        <v>24</v>
      </c>
      <c r="D997" s="30" t="str">
        <f t="shared" si="15"/>
        <v/>
      </c>
      <c r="E997" s="13"/>
      <c r="F997" s="13"/>
      <c r="G997" s="12"/>
      <c r="H997" s="14"/>
    </row>
    <row r="998" spans="1:8" ht="17.399999999999999" x14ac:dyDescent="0.25">
      <c r="A998" s="34" t="s">
        <v>498</v>
      </c>
      <c r="B998" s="35"/>
      <c r="C998" s="15">
        <v>1206.19</v>
      </c>
      <c r="D998" s="29">
        <f t="shared" si="15"/>
        <v>0.95729365079365081</v>
      </c>
      <c r="E998" s="10"/>
      <c r="F998" s="10"/>
      <c r="G998" s="15"/>
      <c r="H998" s="11"/>
    </row>
    <row r="999" spans="1:8" ht="17.399999999999999" x14ac:dyDescent="0.25">
      <c r="A999" s="32" t="s">
        <v>4</v>
      </c>
      <c r="B999" s="33"/>
      <c r="C999" s="16">
        <v>1260</v>
      </c>
      <c r="D999" s="30" t="str">
        <f t="shared" si="15"/>
        <v/>
      </c>
      <c r="E999" s="13"/>
      <c r="F999" s="13"/>
      <c r="G999" s="16"/>
      <c r="H999" s="14"/>
    </row>
    <row r="1000" spans="1:8" ht="17.399999999999999" x14ac:dyDescent="0.25">
      <c r="A1000" s="34" t="s">
        <v>499</v>
      </c>
      <c r="B1000" s="35"/>
      <c r="C1000" s="9">
        <v>289.14999999999998</v>
      </c>
      <c r="D1000" s="29">
        <f t="shared" si="15"/>
        <v>1.9276666666666664</v>
      </c>
      <c r="E1000" s="10"/>
      <c r="F1000" s="10"/>
      <c r="G1000" s="9"/>
      <c r="H1000" s="11"/>
    </row>
    <row r="1001" spans="1:8" ht="17.399999999999999" x14ac:dyDescent="0.25">
      <c r="A1001" s="32" t="s">
        <v>4</v>
      </c>
      <c r="B1001" s="33"/>
      <c r="C1001" s="12">
        <v>150</v>
      </c>
      <c r="D1001" s="30" t="str">
        <f t="shared" si="15"/>
        <v/>
      </c>
      <c r="E1001" s="13"/>
      <c r="F1001" s="13"/>
      <c r="G1001" s="12"/>
      <c r="H1001" s="14"/>
    </row>
    <row r="1002" spans="1:8" ht="17.399999999999999" x14ac:dyDescent="0.25">
      <c r="A1002" s="34" t="s">
        <v>500</v>
      </c>
      <c r="B1002" s="35"/>
      <c r="C1002" s="15">
        <v>2857.77</v>
      </c>
      <c r="D1002" s="29">
        <f t="shared" si="15"/>
        <v>3.4224790419161675</v>
      </c>
      <c r="E1002" s="10"/>
      <c r="F1002" s="10"/>
      <c r="G1002" s="15"/>
      <c r="H1002" s="11"/>
    </row>
    <row r="1003" spans="1:8" ht="17.399999999999999" x14ac:dyDescent="0.25">
      <c r="A1003" s="32" t="s">
        <v>4</v>
      </c>
      <c r="B1003" s="33"/>
      <c r="C1003" s="12">
        <v>835</v>
      </c>
      <c r="D1003" s="30" t="str">
        <f t="shared" si="15"/>
        <v/>
      </c>
      <c r="E1003" s="13"/>
      <c r="F1003" s="13"/>
      <c r="G1003" s="12"/>
      <c r="H1003" s="14"/>
    </row>
    <row r="1004" spans="1:8" ht="17.399999999999999" x14ac:dyDescent="0.25">
      <c r="A1004" s="34" t="s">
        <v>501</v>
      </c>
      <c r="B1004" s="35"/>
      <c r="C1004" s="15">
        <v>2617.98</v>
      </c>
      <c r="D1004" s="29">
        <f t="shared" si="15"/>
        <v>60.88325581395349</v>
      </c>
      <c r="E1004" s="10"/>
      <c r="F1004" s="10"/>
      <c r="G1004" s="15"/>
      <c r="H1004" s="11"/>
    </row>
    <row r="1005" spans="1:8" ht="17.399999999999999" x14ac:dyDescent="0.25">
      <c r="A1005" s="32" t="s">
        <v>4</v>
      </c>
      <c r="B1005" s="33"/>
      <c r="C1005" s="12">
        <v>43</v>
      </c>
      <c r="D1005" s="30" t="str">
        <f t="shared" si="15"/>
        <v/>
      </c>
      <c r="E1005" s="13"/>
      <c r="F1005" s="13"/>
      <c r="G1005" s="12"/>
      <c r="H1005" s="14"/>
    </row>
    <row r="1006" spans="1:8" ht="17.399999999999999" x14ac:dyDescent="0.25">
      <c r="A1006" s="34" t="s">
        <v>502</v>
      </c>
      <c r="B1006" s="35"/>
      <c r="C1006" s="15">
        <v>40876.81</v>
      </c>
      <c r="D1006" s="29">
        <f t="shared" si="15"/>
        <v>1.6305069804547268</v>
      </c>
      <c r="E1006" s="10"/>
      <c r="F1006" s="10"/>
      <c r="G1006" s="15"/>
      <c r="H1006" s="11"/>
    </row>
    <row r="1007" spans="1:8" ht="17.399999999999999" x14ac:dyDescent="0.25">
      <c r="A1007" s="32" t="s">
        <v>4</v>
      </c>
      <c r="B1007" s="33"/>
      <c r="C1007" s="16">
        <v>25070</v>
      </c>
      <c r="D1007" s="30" t="str">
        <f t="shared" si="15"/>
        <v/>
      </c>
      <c r="E1007" s="13"/>
      <c r="F1007" s="13"/>
      <c r="G1007" s="16"/>
      <c r="H1007" s="14"/>
    </row>
    <row r="1008" spans="1:8" ht="17.399999999999999" x14ac:dyDescent="0.25">
      <c r="A1008" s="34" t="s">
        <v>503</v>
      </c>
      <c r="B1008" s="35"/>
      <c r="C1008" s="9">
        <v>199.49</v>
      </c>
      <c r="D1008" s="29">
        <f t="shared" si="15"/>
        <v>11.734705882352941</v>
      </c>
      <c r="E1008" s="10"/>
      <c r="F1008" s="10"/>
      <c r="G1008" s="9"/>
      <c r="H1008" s="11"/>
    </row>
    <row r="1009" spans="1:8" ht="17.399999999999999" x14ac:dyDescent="0.25">
      <c r="A1009" s="32" t="s">
        <v>4</v>
      </c>
      <c r="B1009" s="33"/>
      <c r="C1009" s="12">
        <v>17</v>
      </c>
      <c r="D1009" s="30" t="str">
        <f t="shared" si="15"/>
        <v/>
      </c>
      <c r="E1009" s="13"/>
      <c r="F1009" s="13"/>
      <c r="G1009" s="12"/>
      <c r="H1009" s="14"/>
    </row>
    <row r="1010" spans="1:8" ht="17.399999999999999" x14ac:dyDescent="0.25">
      <c r="A1010" s="34" t="s">
        <v>504</v>
      </c>
      <c r="B1010" s="35"/>
      <c r="C1010" s="9">
        <v>51.76</v>
      </c>
      <c r="D1010" s="29">
        <f t="shared" si="15"/>
        <v>12.94</v>
      </c>
      <c r="E1010" s="10"/>
      <c r="F1010" s="10"/>
      <c r="G1010" s="9"/>
      <c r="H1010" s="11"/>
    </row>
    <row r="1011" spans="1:8" ht="17.399999999999999" x14ac:dyDescent="0.25">
      <c r="A1011" s="32" t="s">
        <v>4</v>
      </c>
      <c r="B1011" s="33"/>
      <c r="C1011" s="12">
        <v>4</v>
      </c>
      <c r="D1011" s="30" t="str">
        <f t="shared" si="15"/>
        <v/>
      </c>
      <c r="E1011" s="13"/>
      <c r="F1011" s="13"/>
      <c r="G1011" s="12"/>
      <c r="H1011" s="14"/>
    </row>
    <row r="1012" spans="1:8" ht="17.399999999999999" x14ac:dyDescent="0.25">
      <c r="A1012" s="34" t="s">
        <v>505</v>
      </c>
      <c r="B1012" s="35"/>
      <c r="C1012" s="9">
        <v>945.34</v>
      </c>
      <c r="D1012" s="29">
        <f t="shared" si="15"/>
        <v>3.1511333333333336</v>
      </c>
      <c r="E1012" s="10"/>
      <c r="F1012" s="10"/>
      <c r="G1012" s="9"/>
      <c r="H1012" s="11"/>
    </row>
    <row r="1013" spans="1:8" ht="17.399999999999999" x14ac:dyDescent="0.25">
      <c r="A1013" s="32" t="s">
        <v>4</v>
      </c>
      <c r="B1013" s="33"/>
      <c r="C1013" s="12">
        <v>300</v>
      </c>
      <c r="D1013" s="30" t="str">
        <f t="shared" si="15"/>
        <v/>
      </c>
      <c r="E1013" s="13"/>
      <c r="F1013" s="13"/>
      <c r="G1013" s="12"/>
      <c r="H1013" s="14"/>
    </row>
    <row r="1014" spans="1:8" ht="17.399999999999999" x14ac:dyDescent="0.25">
      <c r="A1014" s="34" t="s">
        <v>506</v>
      </c>
      <c r="B1014" s="35"/>
      <c r="C1014" s="9">
        <v>680.94</v>
      </c>
      <c r="D1014" s="29">
        <f t="shared" si="15"/>
        <v>5.2380000000000004</v>
      </c>
      <c r="E1014" s="10"/>
      <c r="F1014" s="10"/>
      <c r="G1014" s="9"/>
      <c r="H1014" s="11"/>
    </row>
    <row r="1015" spans="1:8" ht="17.399999999999999" x14ac:dyDescent="0.25">
      <c r="A1015" s="32" t="s">
        <v>4</v>
      </c>
      <c r="B1015" s="33"/>
      <c r="C1015" s="12">
        <v>130</v>
      </c>
      <c r="D1015" s="30" t="str">
        <f t="shared" si="15"/>
        <v/>
      </c>
      <c r="E1015" s="13"/>
      <c r="F1015" s="13"/>
      <c r="G1015" s="12"/>
      <c r="H1015" s="14"/>
    </row>
    <row r="1016" spans="1:8" ht="17.399999999999999" x14ac:dyDescent="0.25">
      <c r="A1016" s="34" t="s">
        <v>507</v>
      </c>
      <c r="B1016" s="35"/>
      <c r="C1016" s="9">
        <v>261.89999999999998</v>
      </c>
      <c r="D1016" s="29">
        <f t="shared" si="15"/>
        <v>5.2379999999999995</v>
      </c>
      <c r="E1016" s="10"/>
      <c r="F1016" s="10"/>
      <c r="G1016" s="9"/>
      <c r="H1016" s="11"/>
    </row>
    <row r="1017" spans="1:8" ht="17.399999999999999" x14ac:dyDescent="0.25">
      <c r="A1017" s="32" t="s">
        <v>4</v>
      </c>
      <c r="B1017" s="33"/>
      <c r="C1017" s="12">
        <v>50</v>
      </c>
      <c r="D1017" s="30" t="str">
        <f t="shared" si="15"/>
        <v/>
      </c>
      <c r="E1017" s="13"/>
      <c r="F1017" s="13"/>
      <c r="G1017" s="12"/>
      <c r="H1017" s="14"/>
    </row>
    <row r="1018" spans="1:8" ht="17.399999999999999" x14ac:dyDescent="0.25">
      <c r="A1018" s="34" t="s">
        <v>508</v>
      </c>
      <c r="B1018" s="35"/>
      <c r="C1018" s="9">
        <v>717.52</v>
      </c>
      <c r="D1018" s="29">
        <f t="shared" si="15"/>
        <v>8.9689999999999994</v>
      </c>
      <c r="E1018" s="10"/>
      <c r="F1018" s="10"/>
      <c r="G1018" s="9"/>
      <c r="H1018" s="11"/>
    </row>
    <row r="1019" spans="1:8" ht="17.399999999999999" x14ac:dyDescent="0.25">
      <c r="A1019" s="32" t="s">
        <v>4</v>
      </c>
      <c r="B1019" s="33"/>
      <c r="C1019" s="12">
        <v>80</v>
      </c>
      <c r="D1019" s="30" t="str">
        <f t="shared" si="15"/>
        <v/>
      </c>
      <c r="E1019" s="13"/>
      <c r="F1019" s="13"/>
      <c r="G1019" s="12"/>
      <c r="H1019" s="14"/>
    </row>
    <row r="1020" spans="1:8" ht="17.399999999999999" x14ac:dyDescent="0.25">
      <c r="A1020" s="34" t="s">
        <v>509</v>
      </c>
      <c r="B1020" s="35"/>
      <c r="C1020" s="9">
        <v>599.6</v>
      </c>
      <c r="D1020" s="29">
        <f t="shared" si="15"/>
        <v>14.99</v>
      </c>
      <c r="E1020" s="10"/>
      <c r="F1020" s="10"/>
      <c r="G1020" s="9"/>
      <c r="H1020" s="11"/>
    </row>
    <row r="1021" spans="1:8" ht="17.399999999999999" x14ac:dyDescent="0.25">
      <c r="A1021" s="32" t="s">
        <v>4</v>
      </c>
      <c r="B1021" s="33"/>
      <c r="C1021" s="12">
        <v>40</v>
      </c>
      <c r="D1021" s="30" t="str">
        <f t="shared" si="15"/>
        <v/>
      </c>
      <c r="E1021" s="13"/>
      <c r="F1021" s="13"/>
      <c r="G1021" s="12"/>
      <c r="H1021" s="14"/>
    </row>
    <row r="1022" spans="1:8" ht="17.399999999999999" x14ac:dyDescent="0.25">
      <c r="A1022" s="34" t="s">
        <v>510</v>
      </c>
      <c r="B1022" s="35"/>
      <c r="C1022" s="15">
        <v>5150.57</v>
      </c>
      <c r="D1022" s="29">
        <f t="shared" si="15"/>
        <v>9.3307427536231877</v>
      </c>
      <c r="E1022" s="10"/>
      <c r="F1022" s="10"/>
      <c r="G1022" s="15"/>
      <c r="H1022" s="11"/>
    </row>
    <row r="1023" spans="1:8" ht="17.399999999999999" x14ac:dyDescent="0.25">
      <c r="A1023" s="32" t="s">
        <v>4</v>
      </c>
      <c r="B1023" s="33"/>
      <c r="C1023" s="12">
        <v>552</v>
      </c>
      <c r="D1023" s="30" t="str">
        <f t="shared" si="15"/>
        <v/>
      </c>
      <c r="E1023" s="13"/>
      <c r="F1023" s="13"/>
      <c r="G1023" s="12"/>
      <c r="H1023" s="14"/>
    </row>
    <row r="1024" spans="1:8" ht="17.399999999999999" x14ac:dyDescent="0.25">
      <c r="A1024" s="34" t="s">
        <v>511</v>
      </c>
      <c r="B1024" s="35"/>
      <c r="C1024" s="15">
        <v>3679.03</v>
      </c>
      <c r="D1024" s="29">
        <f t="shared" si="15"/>
        <v>40.87811111111111</v>
      </c>
      <c r="E1024" s="10"/>
      <c r="F1024" s="10"/>
      <c r="G1024" s="15"/>
      <c r="H1024" s="11"/>
    </row>
    <row r="1025" spans="1:8" ht="17.399999999999999" x14ac:dyDescent="0.25">
      <c r="A1025" s="32" t="s">
        <v>4</v>
      </c>
      <c r="B1025" s="33"/>
      <c r="C1025" s="12">
        <v>90</v>
      </c>
      <c r="D1025" s="30" t="str">
        <f t="shared" si="15"/>
        <v/>
      </c>
      <c r="E1025" s="13"/>
      <c r="F1025" s="13"/>
      <c r="G1025" s="12"/>
      <c r="H1025" s="14"/>
    </row>
    <row r="1026" spans="1:8" ht="17.399999999999999" x14ac:dyDescent="0.25">
      <c r="A1026" s="34" t="s">
        <v>512</v>
      </c>
      <c r="B1026" s="35"/>
      <c r="C1026" s="15">
        <v>1181.52</v>
      </c>
      <c r="D1026" s="29">
        <f t="shared" si="15"/>
        <v>11.815199999999999</v>
      </c>
      <c r="E1026" s="10"/>
      <c r="F1026" s="10"/>
      <c r="G1026" s="15"/>
      <c r="H1026" s="11"/>
    </row>
    <row r="1027" spans="1:8" ht="17.399999999999999" x14ac:dyDescent="0.25">
      <c r="A1027" s="32" t="s">
        <v>4</v>
      </c>
      <c r="B1027" s="33"/>
      <c r="C1027" s="12">
        <v>100</v>
      </c>
      <c r="D1027" s="30" t="str">
        <f t="shared" si="15"/>
        <v/>
      </c>
      <c r="E1027" s="13"/>
      <c r="F1027" s="13"/>
      <c r="G1027" s="12"/>
      <c r="H1027" s="14"/>
    </row>
    <row r="1028" spans="1:8" ht="17.399999999999999" x14ac:dyDescent="0.25">
      <c r="A1028" s="34" t="s">
        <v>513</v>
      </c>
      <c r="B1028" s="35"/>
      <c r="C1028" s="9">
        <v>816.2</v>
      </c>
      <c r="D1028" s="29">
        <f t="shared" si="15"/>
        <v>1.1828985507246377</v>
      </c>
      <c r="E1028" s="10"/>
      <c r="F1028" s="10"/>
      <c r="G1028" s="9"/>
      <c r="H1028" s="11"/>
    </row>
    <row r="1029" spans="1:8" ht="17.399999999999999" x14ac:dyDescent="0.25">
      <c r="A1029" s="32" t="s">
        <v>4</v>
      </c>
      <c r="B1029" s="33"/>
      <c r="C1029" s="12">
        <v>690</v>
      </c>
      <c r="D1029" s="30" t="str">
        <f t="shared" si="15"/>
        <v/>
      </c>
      <c r="E1029" s="13"/>
      <c r="F1029" s="13"/>
      <c r="G1029" s="12"/>
      <c r="H1029" s="14"/>
    </row>
    <row r="1030" spans="1:8" ht="17.399999999999999" x14ac:dyDescent="0.25">
      <c r="A1030" s="34" t="s">
        <v>514</v>
      </c>
      <c r="B1030" s="35"/>
      <c r="C1030" s="9">
        <v>213.84</v>
      </c>
      <c r="D1030" s="29">
        <f t="shared" si="15"/>
        <v>23.76</v>
      </c>
      <c r="E1030" s="10"/>
      <c r="F1030" s="10"/>
      <c r="G1030" s="9"/>
      <c r="H1030" s="11"/>
    </row>
    <row r="1031" spans="1:8" ht="17.399999999999999" x14ac:dyDescent="0.25">
      <c r="A1031" s="32" t="s">
        <v>4</v>
      </c>
      <c r="B1031" s="33"/>
      <c r="C1031" s="12">
        <v>9</v>
      </c>
      <c r="D1031" s="30" t="str">
        <f t="shared" si="15"/>
        <v/>
      </c>
      <c r="E1031" s="13"/>
      <c r="F1031" s="13"/>
      <c r="G1031" s="12"/>
      <c r="H1031" s="14"/>
    </row>
    <row r="1032" spans="1:8" ht="17.399999999999999" x14ac:dyDescent="0.25">
      <c r="A1032" s="34" t="s">
        <v>515</v>
      </c>
      <c r="B1032" s="35"/>
      <c r="C1032" s="9">
        <v>472.5</v>
      </c>
      <c r="D1032" s="29">
        <f t="shared" si="15"/>
        <v>1.89</v>
      </c>
      <c r="E1032" s="10"/>
      <c r="F1032" s="10"/>
      <c r="G1032" s="9"/>
      <c r="H1032" s="11"/>
    </row>
    <row r="1033" spans="1:8" ht="17.399999999999999" x14ac:dyDescent="0.25">
      <c r="A1033" s="32" t="s">
        <v>4</v>
      </c>
      <c r="B1033" s="33"/>
      <c r="C1033" s="12">
        <v>250</v>
      </c>
      <c r="D1033" s="30" t="str">
        <f t="shared" si="15"/>
        <v/>
      </c>
      <c r="E1033" s="13"/>
      <c r="F1033" s="13"/>
      <c r="G1033" s="12"/>
      <c r="H1033" s="14"/>
    </row>
    <row r="1034" spans="1:8" ht="17.399999999999999" x14ac:dyDescent="0.25">
      <c r="A1034" s="34" t="s">
        <v>516</v>
      </c>
      <c r="B1034" s="35"/>
      <c r="C1034" s="9">
        <v>54.96</v>
      </c>
      <c r="D1034" s="29">
        <f t="shared" ref="D1034:D1097" si="16">IF($A1035="Кол-во",IFERROR($C1034/$C1035,""),"")</f>
        <v>0.54959999999999998</v>
      </c>
      <c r="E1034" s="10"/>
      <c r="F1034" s="10"/>
      <c r="G1034" s="9"/>
      <c r="H1034" s="11"/>
    </row>
    <row r="1035" spans="1:8" ht="17.399999999999999" x14ac:dyDescent="0.25">
      <c r="A1035" s="32" t="s">
        <v>4</v>
      </c>
      <c r="B1035" s="33"/>
      <c r="C1035" s="12">
        <v>100</v>
      </c>
      <c r="D1035" s="30" t="str">
        <f t="shared" si="16"/>
        <v/>
      </c>
      <c r="E1035" s="13"/>
      <c r="F1035" s="13"/>
      <c r="G1035" s="12"/>
      <c r="H1035" s="14"/>
    </row>
    <row r="1036" spans="1:8" ht="17.399999999999999" x14ac:dyDescent="0.25">
      <c r="A1036" s="34" t="s">
        <v>517</v>
      </c>
      <c r="B1036" s="35"/>
      <c r="C1036" s="9">
        <v>192.31</v>
      </c>
      <c r="D1036" s="29">
        <f t="shared" si="16"/>
        <v>0.32051666666666667</v>
      </c>
      <c r="E1036" s="10"/>
      <c r="F1036" s="10"/>
      <c r="G1036" s="9"/>
      <c r="H1036" s="11"/>
    </row>
    <row r="1037" spans="1:8" ht="17.399999999999999" x14ac:dyDescent="0.25">
      <c r="A1037" s="32" t="s">
        <v>4</v>
      </c>
      <c r="B1037" s="33"/>
      <c r="C1037" s="12">
        <v>600</v>
      </c>
      <c r="D1037" s="30" t="str">
        <f t="shared" si="16"/>
        <v/>
      </c>
      <c r="E1037" s="13"/>
      <c r="F1037" s="13"/>
      <c r="G1037" s="12"/>
      <c r="H1037" s="14"/>
    </row>
    <row r="1038" spans="1:8" ht="17.399999999999999" x14ac:dyDescent="0.25">
      <c r="A1038" s="34" t="s">
        <v>518</v>
      </c>
      <c r="B1038" s="35"/>
      <c r="C1038" s="15">
        <v>3807</v>
      </c>
      <c r="D1038" s="29">
        <f t="shared" si="16"/>
        <v>25.38</v>
      </c>
      <c r="E1038" s="10"/>
      <c r="F1038" s="10"/>
      <c r="G1038" s="15"/>
      <c r="H1038" s="11"/>
    </row>
    <row r="1039" spans="1:8" ht="17.399999999999999" x14ac:dyDescent="0.25">
      <c r="A1039" s="32" t="s">
        <v>4</v>
      </c>
      <c r="B1039" s="33"/>
      <c r="C1039" s="12">
        <v>150</v>
      </c>
      <c r="D1039" s="30" t="str">
        <f t="shared" si="16"/>
        <v/>
      </c>
      <c r="E1039" s="13"/>
      <c r="F1039" s="13"/>
      <c r="G1039" s="12"/>
      <c r="H1039" s="14"/>
    </row>
    <row r="1040" spans="1:8" ht="17.399999999999999" x14ac:dyDescent="0.25">
      <c r="A1040" s="34" t="s">
        <v>519</v>
      </c>
      <c r="B1040" s="35"/>
      <c r="C1040" s="9">
        <v>479.21</v>
      </c>
      <c r="D1040" s="29">
        <f t="shared" si="16"/>
        <v>43.564545454545453</v>
      </c>
      <c r="E1040" s="10"/>
      <c r="F1040" s="10"/>
      <c r="G1040" s="9"/>
      <c r="H1040" s="11"/>
    </row>
    <row r="1041" spans="1:8" ht="17.399999999999999" x14ac:dyDescent="0.25">
      <c r="A1041" s="32" t="s">
        <v>4</v>
      </c>
      <c r="B1041" s="33"/>
      <c r="C1041" s="12">
        <v>11</v>
      </c>
      <c r="D1041" s="30" t="str">
        <f t="shared" si="16"/>
        <v/>
      </c>
      <c r="E1041" s="13"/>
      <c r="F1041" s="13"/>
      <c r="G1041" s="12"/>
      <c r="H1041" s="14"/>
    </row>
    <row r="1042" spans="1:8" ht="17.399999999999999" x14ac:dyDescent="0.25">
      <c r="A1042" s="34" t="s">
        <v>520</v>
      </c>
      <c r="B1042" s="35"/>
      <c r="C1042" s="9">
        <v>924.17</v>
      </c>
      <c r="D1042" s="29">
        <f t="shared" si="16"/>
        <v>0.9335050505050505</v>
      </c>
      <c r="E1042" s="10"/>
      <c r="F1042" s="10"/>
      <c r="G1042" s="9"/>
      <c r="H1042" s="11"/>
    </row>
    <row r="1043" spans="1:8" ht="17.399999999999999" x14ac:dyDescent="0.25">
      <c r="A1043" s="32" t="s">
        <v>4</v>
      </c>
      <c r="B1043" s="33"/>
      <c r="C1043" s="12">
        <v>990</v>
      </c>
      <c r="D1043" s="30" t="str">
        <f t="shared" si="16"/>
        <v/>
      </c>
      <c r="E1043" s="13"/>
      <c r="F1043" s="13"/>
      <c r="G1043" s="12"/>
      <c r="H1043" s="14"/>
    </row>
    <row r="1044" spans="1:8" ht="17.399999999999999" x14ac:dyDescent="0.25">
      <c r="A1044" s="34" t="s">
        <v>521</v>
      </c>
      <c r="B1044" s="35"/>
      <c r="C1044" s="15">
        <v>1344.72</v>
      </c>
      <c r="D1044" s="29">
        <f t="shared" si="16"/>
        <v>2.4012857142857142</v>
      </c>
      <c r="E1044" s="10"/>
      <c r="F1044" s="10"/>
      <c r="G1044" s="15"/>
      <c r="H1044" s="11"/>
    </row>
    <row r="1045" spans="1:8" ht="17.399999999999999" x14ac:dyDescent="0.25">
      <c r="A1045" s="32" t="s">
        <v>4</v>
      </c>
      <c r="B1045" s="33"/>
      <c r="C1045" s="12">
        <v>560</v>
      </c>
      <c r="D1045" s="30" t="str">
        <f t="shared" si="16"/>
        <v/>
      </c>
      <c r="E1045" s="13"/>
      <c r="F1045" s="13"/>
      <c r="G1045" s="12"/>
      <c r="H1045" s="14"/>
    </row>
    <row r="1046" spans="1:8" ht="17.399999999999999" x14ac:dyDescent="0.25">
      <c r="A1046" s="34" t="s">
        <v>522</v>
      </c>
      <c r="B1046" s="35"/>
      <c r="C1046" s="15">
        <v>2006.78</v>
      </c>
      <c r="D1046" s="29">
        <f t="shared" si="16"/>
        <v>83.615833333333327</v>
      </c>
      <c r="E1046" s="10"/>
      <c r="F1046" s="10"/>
      <c r="G1046" s="15"/>
      <c r="H1046" s="11"/>
    </row>
    <row r="1047" spans="1:8" ht="17.399999999999999" x14ac:dyDescent="0.25">
      <c r="A1047" s="32" t="s">
        <v>4</v>
      </c>
      <c r="B1047" s="33"/>
      <c r="C1047" s="12">
        <v>24</v>
      </c>
      <c r="D1047" s="30" t="str">
        <f t="shared" si="16"/>
        <v/>
      </c>
      <c r="E1047" s="13"/>
      <c r="F1047" s="13"/>
      <c r="G1047" s="12"/>
      <c r="H1047" s="14"/>
    </row>
    <row r="1048" spans="1:8" ht="17.399999999999999" x14ac:dyDescent="0.25">
      <c r="A1048" s="34" t="s">
        <v>523</v>
      </c>
      <c r="B1048" s="35"/>
      <c r="C1048" s="15">
        <v>8119.26</v>
      </c>
      <c r="D1048" s="29">
        <f t="shared" si="16"/>
        <v>1.3180616883116882</v>
      </c>
      <c r="E1048" s="10"/>
      <c r="F1048" s="10"/>
      <c r="G1048" s="15"/>
      <c r="H1048" s="11"/>
    </row>
    <row r="1049" spans="1:8" ht="17.399999999999999" x14ac:dyDescent="0.25">
      <c r="A1049" s="32" t="s">
        <v>4</v>
      </c>
      <c r="B1049" s="33"/>
      <c r="C1049" s="16">
        <v>6160</v>
      </c>
      <c r="D1049" s="30" t="str">
        <f t="shared" si="16"/>
        <v/>
      </c>
      <c r="E1049" s="13"/>
      <c r="F1049" s="13"/>
      <c r="G1049" s="16"/>
      <c r="H1049" s="14"/>
    </row>
    <row r="1050" spans="1:8" ht="17.399999999999999" x14ac:dyDescent="0.25">
      <c r="A1050" s="34" t="s">
        <v>524</v>
      </c>
      <c r="B1050" s="35"/>
      <c r="C1050" s="9">
        <v>652.02</v>
      </c>
      <c r="D1050" s="29">
        <f t="shared" si="16"/>
        <v>2.1734</v>
      </c>
      <c r="E1050" s="10"/>
      <c r="F1050" s="10"/>
      <c r="G1050" s="9"/>
      <c r="H1050" s="11"/>
    </row>
    <row r="1051" spans="1:8" ht="17.399999999999999" x14ac:dyDescent="0.25">
      <c r="A1051" s="32" t="s">
        <v>4</v>
      </c>
      <c r="B1051" s="33"/>
      <c r="C1051" s="12">
        <v>300</v>
      </c>
      <c r="D1051" s="30" t="str">
        <f t="shared" si="16"/>
        <v/>
      </c>
      <c r="E1051" s="13"/>
      <c r="F1051" s="13"/>
      <c r="G1051" s="12"/>
      <c r="H1051" s="14"/>
    </row>
    <row r="1052" spans="1:8" ht="17.399999999999999" x14ac:dyDescent="0.25">
      <c r="A1052" s="34" t="s">
        <v>525</v>
      </c>
      <c r="B1052" s="35"/>
      <c r="C1052" s="15">
        <v>2296.14</v>
      </c>
      <c r="D1052" s="29">
        <f t="shared" si="16"/>
        <v>20.873999999999999</v>
      </c>
      <c r="E1052" s="10"/>
      <c r="F1052" s="10"/>
      <c r="G1052" s="15"/>
      <c r="H1052" s="11"/>
    </row>
    <row r="1053" spans="1:8" ht="17.399999999999999" x14ac:dyDescent="0.25">
      <c r="A1053" s="32" t="s">
        <v>4</v>
      </c>
      <c r="B1053" s="33"/>
      <c r="C1053" s="12">
        <v>110</v>
      </c>
      <c r="D1053" s="30" t="str">
        <f t="shared" si="16"/>
        <v/>
      </c>
      <c r="E1053" s="13"/>
      <c r="F1053" s="13"/>
      <c r="G1053" s="12"/>
      <c r="H1053" s="14"/>
    </row>
    <row r="1054" spans="1:8" ht="17.399999999999999" x14ac:dyDescent="0.25">
      <c r="A1054" s="34" t="s">
        <v>526</v>
      </c>
      <c r="B1054" s="35"/>
      <c r="C1054" s="9">
        <v>856.56</v>
      </c>
      <c r="D1054" s="29">
        <f t="shared" si="16"/>
        <v>28.552</v>
      </c>
      <c r="E1054" s="10"/>
      <c r="F1054" s="10"/>
      <c r="G1054" s="9"/>
      <c r="H1054" s="11"/>
    </row>
    <row r="1055" spans="1:8" ht="17.399999999999999" x14ac:dyDescent="0.25">
      <c r="A1055" s="32" t="s">
        <v>4</v>
      </c>
      <c r="B1055" s="33"/>
      <c r="C1055" s="12">
        <v>30</v>
      </c>
      <c r="D1055" s="30" t="str">
        <f t="shared" si="16"/>
        <v/>
      </c>
      <c r="E1055" s="13"/>
      <c r="F1055" s="13"/>
      <c r="G1055" s="12"/>
      <c r="H1055" s="14"/>
    </row>
    <row r="1056" spans="1:8" ht="17.399999999999999" x14ac:dyDescent="0.25">
      <c r="A1056" s="34" t="s">
        <v>527</v>
      </c>
      <c r="B1056" s="35"/>
      <c r="C1056" s="15">
        <v>2443.13</v>
      </c>
      <c r="D1056" s="29">
        <f t="shared" si="16"/>
        <v>0.32316534391534391</v>
      </c>
      <c r="E1056" s="10"/>
      <c r="F1056" s="10"/>
      <c r="G1056" s="15"/>
      <c r="H1056" s="11"/>
    </row>
    <row r="1057" spans="1:8" ht="17.399999999999999" x14ac:dyDescent="0.25">
      <c r="A1057" s="32" t="s">
        <v>4</v>
      </c>
      <c r="B1057" s="33"/>
      <c r="C1057" s="16">
        <v>7560</v>
      </c>
      <c r="D1057" s="30" t="str">
        <f t="shared" si="16"/>
        <v/>
      </c>
      <c r="E1057" s="13"/>
      <c r="F1057" s="13"/>
      <c r="G1057" s="16"/>
      <c r="H1057" s="14"/>
    </row>
    <row r="1058" spans="1:8" ht="17.399999999999999" x14ac:dyDescent="0.25">
      <c r="A1058" s="34" t="s">
        <v>528</v>
      </c>
      <c r="B1058" s="35"/>
      <c r="C1058" s="15">
        <v>11501.66</v>
      </c>
      <c r="D1058" s="29">
        <f t="shared" si="16"/>
        <v>9.915224137931034</v>
      </c>
      <c r="E1058" s="10"/>
      <c r="F1058" s="10"/>
      <c r="G1058" s="15"/>
      <c r="H1058" s="11"/>
    </row>
    <row r="1059" spans="1:8" ht="17.399999999999999" x14ac:dyDescent="0.25">
      <c r="A1059" s="32" t="s">
        <v>4</v>
      </c>
      <c r="B1059" s="33"/>
      <c r="C1059" s="16">
        <v>1160</v>
      </c>
      <c r="D1059" s="30" t="str">
        <f t="shared" si="16"/>
        <v/>
      </c>
      <c r="E1059" s="13"/>
      <c r="F1059" s="13"/>
      <c r="G1059" s="16"/>
      <c r="H1059" s="14"/>
    </row>
    <row r="1060" spans="1:8" ht="17.399999999999999" x14ac:dyDescent="0.25">
      <c r="A1060" s="34" t="s">
        <v>529</v>
      </c>
      <c r="B1060" s="35"/>
      <c r="C1060" s="15">
        <v>2521.31</v>
      </c>
      <c r="D1060" s="29">
        <f t="shared" si="16"/>
        <v>8.6941724137931029</v>
      </c>
      <c r="E1060" s="10"/>
      <c r="F1060" s="10"/>
      <c r="G1060" s="15"/>
      <c r="H1060" s="11"/>
    </row>
    <row r="1061" spans="1:8" ht="17.399999999999999" x14ac:dyDescent="0.25">
      <c r="A1061" s="32" t="s">
        <v>4</v>
      </c>
      <c r="B1061" s="33"/>
      <c r="C1061" s="12">
        <v>290</v>
      </c>
      <c r="D1061" s="30" t="str">
        <f t="shared" si="16"/>
        <v/>
      </c>
      <c r="E1061" s="13"/>
      <c r="F1061" s="13"/>
      <c r="G1061" s="12"/>
      <c r="H1061" s="14"/>
    </row>
    <row r="1062" spans="1:8" ht="17.399999999999999" x14ac:dyDescent="0.25">
      <c r="A1062" s="34" t="s">
        <v>530</v>
      </c>
      <c r="B1062" s="35"/>
      <c r="C1062" s="15">
        <v>9757.82</v>
      </c>
      <c r="D1062" s="29">
        <f t="shared" si="16"/>
        <v>3.1992852459016392</v>
      </c>
      <c r="E1062" s="10"/>
      <c r="F1062" s="10"/>
      <c r="G1062" s="15"/>
      <c r="H1062" s="11"/>
    </row>
    <row r="1063" spans="1:8" ht="17.399999999999999" x14ac:dyDescent="0.25">
      <c r="A1063" s="32" t="s">
        <v>4</v>
      </c>
      <c r="B1063" s="33"/>
      <c r="C1063" s="16">
        <v>3050</v>
      </c>
      <c r="D1063" s="30" t="str">
        <f t="shared" si="16"/>
        <v/>
      </c>
      <c r="E1063" s="13"/>
      <c r="F1063" s="13"/>
      <c r="G1063" s="16"/>
      <c r="H1063" s="14"/>
    </row>
    <row r="1064" spans="1:8" ht="17.399999999999999" x14ac:dyDescent="0.25">
      <c r="A1064" s="34" t="s">
        <v>531</v>
      </c>
      <c r="B1064" s="35"/>
      <c r="C1064" s="15">
        <v>1480.53</v>
      </c>
      <c r="D1064" s="29">
        <f t="shared" si="16"/>
        <v>3.3047544642857143</v>
      </c>
      <c r="E1064" s="10"/>
      <c r="F1064" s="10"/>
      <c r="G1064" s="15"/>
      <c r="H1064" s="11"/>
    </row>
    <row r="1065" spans="1:8" ht="17.399999999999999" x14ac:dyDescent="0.25">
      <c r="A1065" s="32" t="s">
        <v>4</v>
      </c>
      <c r="B1065" s="33"/>
      <c r="C1065" s="12">
        <v>448</v>
      </c>
      <c r="D1065" s="30" t="str">
        <f t="shared" si="16"/>
        <v/>
      </c>
      <c r="E1065" s="13"/>
      <c r="F1065" s="13"/>
      <c r="G1065" s="12"/>
      <c r="H1065" s="14"/>
    </row>
    <row r="1066" spans="1:8" ht="17.399999999999999" x14ac:dyDescent="0.25">
      <c r="A1066" s="34" t="s">
        <v>532</v>
      </c>
      <c r="B1066" s="35"/>
      <c r="C1066" s="9">
        <v>960.38</v>
      </c>
      <c r="D1066" s="29">
        <f t="shared" si="16"/>
        <v>1.3719714285714286</v>
      </c>
      <c r="E1066" s="10"/>
      <c r="F1066" s="10"/>
      <c r="G1066" s="9"/>
      <c r="H1066" s="11"/>
    </row>
    <row r="1067" spans="1:8" ht="17.399999999999999" x14ac:dyDescent="0.25">
      <c r="A1067" s="32" t="s">
        <v>4</v>
      </c>
      <c r="B1067" s="33"/>
      <c r="C1067" s="12">
        <v>700</v>
      </c>
      <c r="D1067" s="30" t="str">
        <f t="shared" si="16"/>
        <v/>
      </c>
      <c r="E1067" s="13"/>
      <c r="F1067" s="13"/>
      <c r="G1067" s="12"/>
      <c r="H1067" s="14"/>
    </row>
    <row r="1068" spans="1:8" ht="17.399999999999999" x14ac:dyDescent="0.25">
      <c r="A1068" s="34" t="s">
        <v>533</v>
      </c>
      <c r="B1068" s="35"/>
      <c r="C1068" s="9">
        <v>127.38</v>
      </c>
      <c r="D1068" s="29">
        <f t="shared" si="16"/>
        <v>2.8306666666666667</v>
      </c>
      <c r="E1068" s="10"/>
      <c r="F1068" s="10"/>
      <c r="G1068" s="9"/>
      <c r="H1068" s="11"/>
    </row>
    <row r="1069" spans="1:8" ht="17.399999999999999" x14ac:dyDescent="0.25">
      <c r="A1069" s="32" t="s">
        <v>4</v>
      </c>
      <c r="B1069" s="33"/>
      <c r="C1069" s="12">
        <v>45</v>
      </c>
      <c r="D1069" s="30" t="str">
        <f t="shared" si="16"/>
        <v/>
      </c>
      <c r="E1069" s="13"/>
      <c r="F1069" s="13"/>
      <c r="G1069" s="12"/>
      <c r="H1069" s="14"/>
    </row>
    <row r="1070" spans="1:8" ht="17.399999999999999" x14ac:dyDescent="0.25">
      <c r="A1070" s="34" t="s">
        <v>534</v>
      </c>
      <c r="B1070" s="35"/>
      <c r="C1070" s="9">
        <v>324</v>
      </c>
      <c r="D1070" s="29">
        <f t="shared" si="16"/>
        <v>3.24</v>
      </c>
      <c r="E1070" s="10"/>
      <c r="F1070" s="10"/>
      <c r="G1070" s="9"/>
      <c r="H1070" s="11"/>
    </row>
    <row r="1071" spans="1:8" ht="17.399999999999999" x14ac:dyDescent="0.25">
      <c r="A1071" s="32" t="s">
        <v>4</v>
      </c>
      <c r="B1071" s="33"/>
      <c r="C1071" s="12">
        <v>100</v>
      </c>
      <c r="D1071" s="30" t="str">
        <f t="shared" si="16"/>
        <v/>
      </c>
      <c r="E1071" s="13"/>
      <c r="F1071" s="13"/>
      <c r="G1071" s="12"/>
      <c r="H1071" s="14"/>
    </row>
    <row r="1072" spans="1:8" ht="17.399999999999999" x14ac:dyDescent="0.25">
      <c r="A1072" s="34" t="s">
        <v>535</v>
      </c>
      <c r="B1072" s="35"/>
      <c r="C1072" s="15">
        <v>1462.52</v>
      </c>
      <c r="D1072" s="29">
        <f t="shared" si="16"/>
        <v>48.750666666666667</v>
      </c>
      <c r="E1072" s="10"/>
      <c r="F1072" s="10"/>
      <c r="G1072" s="15"/>
      <c r="H1072" s="11"/>
    </row>
    <row r="1073" spans="1:8" ht="17.399999999999999" x14ac:dyDescent="0.25">
      <c r="A1073" s="32" t="s">
        <v>4</v>
      </c>
      <c r="B1073" s="33"/>
      <c r="C1073" s="12">
        <v>30</v>
      </c>
      <c r="D1073" s="30" t="str">
        <f t="shared" si="16"/>
        <v/>
      </c>
      <c r="E1073" s="13"/>
      <c r="F1073" s="13"/>
      <c r="G1073" s="12"/>
      <c r="H1073" s="14"/>
    </row>
    <row r="1074" spans="1:8" ht="17.399999999999999" x14ac:dyDescent="0.25">
      <c r="A1074" s="34" t="s">
        <v>536</v>
      </c>
      <c r="B1074" s="35"/>
      <c r="C1074" s="9">
        <v>523.48</v>
      </c>
      <c r="D1074" s="29">
        <f t="shared" si="16"/>
        <v>26.173999999999999</v>
      </c>
      <c r="E1074" s="10"/>
      <c r="F1074" s="10"/>
      <c r="G1074" s="9"/>
      <c r="H1074" s="11"/>
    </row>
    <row r="1075" spans="1:8" ht="17.399999999999999" x14ac:dyDescent="0.25">
      <c r="A1075" s="32" t="s">
        <v>4</v>
      </c>
      <c r="B1075" s="33"/>
      <c r="C1075" s="12">
        <v>20</v>
      </c>
      <c r="D1075" s="30" t="str">
        <f t="shared" si="16"/>
        <v/>
      </c>
      <c r="E1075" s="13"/>
      <c r="F1075" s="13"/>
      <c r="G1075" s="12"/>
      <c r="H1075" s="14"/>
    </row>
    <row r="1076" spans="1:8" ht="17.399999999999999" x14ac:dyDescent="0.25">
      <c r="A1076" s="34" t="s">
        <v>537</v>
      </c>
      <c r="B1076" s="35"/>
      <c r="C1076" s="9">
        <v>648</v>
      </c>
      <c r="D1076" s="29">
        <f t="shared" si="16"/>
        <v>3.24</v>
      </c>
      <c r="E1076" s="10"/>
      <c r="F1076" s="10"/>
      <c r="G1076" s="9"/>
      <c r="H1076" s="11"/>
    </row>
    <row r="1077" spans="1:8" ht="17.399999999999999" x14ac:dyDescent="0.25">
      <c r="A1077" s="32" t="s">
        <v>4</v>
      </c>
      <c r="B1077" s="33"/>
      <c r="C1077" s="12">
        <v>200</v>
      </c>
      <c r="D1077" s="30" t="str">
        <f t="shared" si="16"/>
        <v/>
      </c>
      <c r="E1077" s="13"/>
      <c r="F1077" s="13"/>
      <c r="G1077" s="12"/>
      <c r="H1077" s="14"/>
    </row>
    <row r="1078" spans="1:8" ht="17.399999999999999" x14ac:dyDescent="0.25">
      <c r="A1078" s="34" t="s">
        <v>538</v>
      </c>
      <c r="B1078" s="35"/>
      <c r="C1078" s="9">
        <v>189</v>
      </c>
      <c r="D1078" s="29">
        <f t="shared" si="16"/>
        <v>3.78</v>
      </c>
      <c r="E1078" s="10"/>
      <c r="F1078" s="10"/>
      <c r="G1078" s="9"/>
      <c r="H1078" s="11"/>
    </row>
    <row r="1079" spans="1:8" ht="17.399999999999999" x14ac:dyDescent="0.25">
      <c r="A1079" s="32" t="s">
        <v>4</v>
      </c>
      <c r="B1079" s="33"/>
      <c r="C1079" s="12">
        <v>50</v>
      </c>
      <c r="D1079" s="30" t="str">
        <f t="shared" si="16"/>
        <v/>
      </c>
      <c r="E1079" s="13"/>
      <c r="F1079" s="13"/>
      <c r="G1079" s="12"/>
      <c r="H1079" s="14"/>
    </row>
    <row r="1080" spans="1:8" ht="17.399999999999999" x14ac:dyDescent="0.25">
      <c r="A1080" s="34" t="s">
        <v>539</v>
      </c>
      <c r="B1080" s="35"/>
      <c r="C1080" s="9">
        <v>696.62</v>
      </c>
      <c r="D1080" s="29">
        <f t="shared" si="16"/>
        <v>69.662000000000006</v>
      </c>
      <c r="E1080" s="10"/>
      <c r="F1080" s="10"/>
      <c r="G1080" s="9"/>
      <c r="H1080" s="11"/>
    </row>
    <row r="1081" spans="1:8" ht="17.399999999999999" x14ac:dyDescent="0.25">
      <c r="A1081" s="32" t="s">
        <v>4</v>
      </c>
      <c r="B1081" s="33"/>
      <c r="C1081" s="12">
        <v>10</v>
      </c>
      <c r="D1081" s="30" t="str">
        <f t="shared" si="16"/>
        <v/>
      </c>
      <c r="E1081" s="13"/>
      <c r="F1081" s="13"/>
      <c r="G1081" s="12"/>
      <c r="H1081" s="14"/>
    </row>
    <row r="1082" spans="1:8" ht="17.399999999999999" x14ac:dyDescent="0.25">
      <c r="A1082" s="34" t="s">
        <v>540</v>
      </c>
      <c r="B1082" s="35"/>
      <c r="C1082" s="15">
        <v>1288</v>
      </c>
      <c r="D1082" s="29">
        <f t="shared" si="16"/>
        <v>0.92</v>
      </c>
      <c r="E1082" s="10"/>
      <c r="F1082" s="10"/>
      <c r="G1082" s="15"/>
      <c r="H1082" s="11"/>
    </row>
    <row r="1083" spans="1:8" ht="17.399999999999999" x14ac:dyDescent="0.25">
      <c r="A1083" s="32" t="s">
        <v>4</v>
      </c>
      <c r="B1083" s="33"/>
      <c r="C1083" s="16">
        <v>1400</v>
      </c>
      <c r="D1083" s="30" t="str">
        <f t="shared" si="16"/>
        <v/>
      </c>
      <c r="E1083" s="13"/>
      <c r="F1083" s="13"/>
      <c r="G1083" s="16"/>
      <c r="H1083" s="14"/>
    </row>
    <row r="1084" spans="1:8" ht="17.399999999999999" x14ac:dyDescent="0.25">
      <c r="A1084" s="34" t="s">
        <v>541</v>
      </c>
      <c r="B1084" s="35"/>
      <c r="C1084" s="9">
        <v>249.6</v>
      </c>
      <c r="D1084" s="29">
        <f t="shared" si="16"/>
        <v>0.78</v>
      </c>
      <c r="E1084" s="10"/>
      <c r="F1084" s="10"/>
      <c r="G1084" s="9"/>
      <c r="H1084" s="11"/>
    </row>
    <row r="1085" spans="1:8" ht="17.399999999999999" x14ac:dyDescent="0.25">
      <c r="A1085" s="32" t="s">
        <v>4</v>
      </c>
      <c r="B1085" s="33"/>
      <c r="C1085" s="12">
        <v>320</v>
      </c>
      <c r="D1085" s="30" t="str">
        <f t="shared" si="16"/>
        <v/>
      </c>
      <c r="E1085" s="13"/>
      <c r="F1085" s="13"/>
      <c r="G1085" s="12"/>
      <c r="H1085" s="14"/>
    </row>
    <row r="1086" spans="1:8" ht="17.399999999999999" x14ac:dyDescent="0.25">
      <c r="A1086" s="34" t="s">
        <v>542</v>
      </c>
      <c r="B1086" s="35"/>
      <c r="C1086" s="9">
        <v>296.39999999999998</v>
      </c>
      <c r="D1086" s="29">
        <f t="shared" si="16"/>
        <v>0.77999999999999992</v>
      </c>
      <c r="E1086" s="10"/>
      <c r="F1086" s="10"/>
      <c r="G1086" s="9"/>
      <c r="H1086" s="11"/>
    </row>
    <row r="1087" spans="1:8" ht="17.399999999999999" x14ac:dyDescent="0.25">
      <c r="A1087" s="32" t="s">
        <v>4</v>
      </c>
      <c r="B1087" s="33"/>
      <c r="C1087" s="12">
        <v>380</v>
      </c>
      <c r="D1087" s="30" t="str">
        <f t="shared" si="16"/>
        <v/>
      </c>
      <c r="E1087" s="13"/>
      <c r="F1087" s="13"/>
      <c r="G1087" s="12"/>
      <c r="H1087" s="14"/>
    </row>
    <row r="1088" spans="1:8" ht="17.399999999999999" x14ac:dyDescent="0.25">
      <c r="A1088" s="34" t="s">
        <v>543</v>
      </c>
      <c r="B1088" s="35"/>
      <c r="C1088" s="9">
        <v>982.68</v>
      </c>
      <c r="D1088" s="29">
        <f t="shared" si="16"/>
        <v>0.9634117647058823</v>
      </c>
      <c r="E1088" s="10"/>
      <c r="F1088" s="10"/>
      <c r="G1088" s="9"/>
      <c r="H1088" s="11"/>
    </row>
    <row r="1089" spans="1:8" ht="17.399999999999999" x14ac:dyDescent="0.25">
      <c r="A1089" s="32" t="s">
        <v>4</v>
      </c>
      <c r="B1089" s="33"/>
      <c r="C1089" s="16">
        <v>1020</v>
      </c>
      <c r="D1089" s="30" t="str">
        <f t="shared" si="16"/>
        <v/>
      </c>
      <c r="E1089" s="13"/>
      <c r="F1089" s="13"/>
      <c r="G1089" s="16"/>
      <c r="H1089" s="14"/>
    </row>
    <row r="1090" spans="1:8" ht="17.399999999999999" x14ac:dyDescent="0.25">
      <c r="A1090" s="34" t="s">
        <v>544</v>
      </c>
      <c r="B1090" s="35"/>
      <c r="C1090" s="9">
        <v>39.69</v>
      </c>
      <c r="D1090" s="29">
        <f t="shared" si="16"/>
        <v>13.229999999999999</v>
      </c>
      <c r="E1090" s="10"/>
      <c r="F1090" s="10"/>
      <c r="G1090" s="9"/>
      <c r="H1090" s="11"/>
    </row>
    <row r="1091" spans="1:8" ht="17.399999999999999" x14ac:dyDescent="0.25">
      <c r="A1091" s="32" t="s">
        <v>4</v>
      </c>
      <c r="B1091" s="33"/>
      <c r="C1091" s="12">
        <v>3</v>
      </c>
      <c r="D1091" s="30" t="str">
        <f t="shared" si="16"/>
        <v/>
      </c>
      <c r="E1091" s="13"/>
      <c r="F1091" s="13"/>
      <c r="G1091" s="12"/>
      <c r="H1091" s="14"/>
    </row>
    <row r="1092" spans="1:8" ht="17.399999999999999" x14ac:dyDescent="0.25">
      <c r="A1092" s="34" t="s">
        <v>545</v>
      </c>
      <c r="B1092" s="35"/>
      <c r="C1092" s="9">
        <v>746.51</v>
      </c>
      <c r="D1092" s="29">
        <f t="shared" si="16"/>
        <v>0.22899079754601226</v>
      </c>
      <c r="E1092" s="10"/>
      <c r="F1092" s="10"/>
      <c r="G1092" s="9"/>
      <c r="H1092" s="11"/>
    </row>
    <row r="1093" spans="1:8" ht="17.399999999999999" x14ac:dyDescent="0.25">
      <c r="A1093" s="32" t="s">
        <v>4</v>
      </c>
      <c r="B1093" s="33"/>
      <c r="C1093" s="16">
        <v>3260</v>
      </c>
      <c r="D1093" s="30" t="str">
        <f t="shared" si="16"/>
        <v/>
      </c>
      <c r="E1093" s="13"/>
      <c r="F1093" s="13"/>
      <c r="G1093" s="16"/>
      <c r="H1093" s="14"/>
    </row>
    <row r="1094" spans="1:8" ht="17.399999999999999" x14ac:dyDescent="0.25">
      <c r="A1094" s="34" t="s">
        <v>546</v>
      </c>
      <c r="B1094" s="35"/>
      <c r="C1094" s="9">
        <v>219.96</v>
      </c>
      <c r="D1094" s="29">
        <f t="shared" si="16"/>
        <v>18.330000000000002</v>
      </c>
      <c r="E1094" s="10"/>
      <c r="F1094" s="10"/>
      <c r="G1094" s="9"/>
      <c r="H1094" s="11"/>
    </row>
    <row r="1095" spans="1:8" ht="17.399999999999999" x14ac:dyDescent="0.25">
      <c r="A1095" s="32" t="s">
        <v>4</v>
      </c>
      <c r="B1095" s="33"/>
      <c r="C1095" s="12">
        <v>12</v>
      </c>
      <c r="D1095" s="30" t="str">
        <f t="shared" si="16"/>
        <v/>
      </c>
      <c r="E1095" s="13"/>
      <c r="F1095" s="13"/>
      <c r="G1095" s="12"/>
      <c r="H1095" s="14"/>
    </row>
    <row r="1096" spans="1:8" ht="17.399999999999999" x14ac:dyDescent="0.25">
      <c r="A1096" s="34" t="s">
        <v>547</v>
      </c>
      <c r="B1096" s="35"/>
      <c r="C1096" s="9">
        <v>136.6</v>
      </c>
      <c r="D1096" s="29">
        <f t="shared" si="16"/>
        <v>1.7075</v>
      </c>
      <c r="E1096" s="10"/>
      <c r="F1096" s="10"/>
      <c r="G1096" s="9"/>
      <c r="H1096" s="11"/>
    </row>
    <row r="1097" spans="1:8" ht="17.399999999999999" x14ac:dyDescent="0.25">
      <c r="A1097" s="32" t="s">
        <v>4</v>
      </c>
      <c r="B1097" s="33"/>
      <c r="C1097" s="12">
        <v>80</v>
      </c>
      <c r="D1097" s="30" t="str">
        <f t="shared" si="16"/>
        <v/>
      </c>
      <c r="E1097" s="13"/>
      <c r="F1097" s="13"/>
      <c r="G1097" s="12"/>
      <c r="H1097" s="14"/>
    </row>
    <row r="1098" spans="1:8" ht="17.399999999999999" x14ac:dyDescent="0.25">
      <c r="A1098" s="34" t="s">
        <v>548</v>
      </c>
      <c r="B1098" s="35"/>
      <c r="C1098" s="9">
        <v>55.98</v>
      </c>
      <c r="D1098" s="29">
        <f t="shared" ref="D1098:D1161" si="17">IF($A1099="Кол-во",IFERROR($C1098/$C1099,""),"")</f>
        <v>1.5549999999999999</v>
      </c>
      <c r="E1098" s="10"/>
      <c r="F1098" s="10"/>
      <c r="G1098" s="9"/>
      <c r="H1098" s="11"/>
    </row>
    <row r="1099" spans="1:8" ht="17.399999999999999" x14ac:dyDescent="0.25">
      <c r="A1099" s="32" t="s">
        <v>4</v>
      </c>
      <c r="B1099" s="33"/>
      <c r="C1099" s="12">
        <v>36</v>
      </c>
      <c r="D1099" s="30" t="str">
        <f t="shared" si="17"/>
        <v/>
      </c>
      <c r="E1099" s="13"/>
      <c r="F1099" s="13"/>
      <c r="G1099" s="12"/>
      <c r="H1099" s="14"/>
    </row>
    <row r="1100" spans="1:8" ht="17.399999999999999" x14ac:dyDescent="0.25">
      <c r="A1100" s="34" t="s">
        <v>549</v>
      </c>
      <c r="B1100" s="35"/>
      <c r="C1100" s="9">
        <v>127</v>
      </c>
      <c r="D1100" s="29">
        <f t="shared" si="17"/>
        <v>2.1166666666666667</v>
      </c>
      <c r="E1100" s="10"/>
      <c r="F1100" s="10"/>
      <c r="G1100" s="9"/>
      <c r="H1100" s="11"/>
    </row>
    <row r="1101" spans="1:8" ht="17.399999999999999" x14ac:dyDescent="0.25">
      <c r="A1101" s="32" t="s">
        <v>4</v>
      </c>
      <c r="B1101" s="33"/>
      <c r="C1101" s="12">
        <v>60</v>
      </c>
      <c r="D1101" s="30" t="str">
        <f t="shared" si="17"/>
        <v/>
      </c>
      <c r="E1101" s="13"/>
      <c r="F1101" s="13"/>
      <c r="G1101" s="12"/>
      <c r="H1101" s="14"/>
    </row>
    <row r="1102" spans="1:8" ht="17.399999999999999" x14ac:dyDescent="0.25">
      <c r="A1102" s="34" t="s">
        <v>550</v>
      </c>
      <c r="B1102" s="35"/>
      <c r="C1102" s="9">
        <v>539.25</v>
      </c>
      <c r="D1102" s="29">
        <f t="shared" si="17"/>
        <v>49.022727272727273</v>
      </c>
      <c r="E1102" s="10"/>
      <c r="F1102" s="10"/>
      <c r="G1102" s="9"/>
      <c r="H1102" s="11"/>
    </row>
    <row r="1103" spans="1:8" ht="17.399999999999999" x14ac:dyDescent="0.25">
      <c r="A1103" s="32" t="s">
        <v>4</v>
      </c>
      <c r="B1103" s="33"/>
      <c r="C1103" s="12">
        <v>11</v>
      </c>
      <c r="D1103" s="30" t="str">
        <f t="shared" si="17"/>
        <v/>
      </c>
      <c r="E1103" s="13"/>
      <c r="F1103" s="13"/>
      <c r="G1103" s="12"/>
      <c r="H1103" s="14"/>
    </row>
    <row r="1104" spans="1:8" ht="17.399999999999999" x14ac:dyDescent="0.25">
      <c r="A1104" s="34" t="s">
        <v>551</v>
      </c>
      <c r="B1104" s="35"/>
      <c r="C1104" s="9">
        <v>550.15</v>
      </c>
      <c r="D1104" s="29">
        <f t="shared" si="17"/>
        <v>55.015000000000001</v>
      </c>
      <c r="E1104" s="10"/>
      <c r="F1104" s="10"/>
      <c r="G1104" s="9"/>
      <c r="H1104" s="11"/>
    </row>
    <row r="1105" spans="1:8" ht="17.399999999999999" x14ac:dyDescent="0.25">
      <c r="A1105" s="32" t="s">
        <v>4</v>
      </c>
      <c r="B1105" s="33"/>
      <c r="C1105" s="12">
        <v>10</v>
      </c>
      <c r="D1105" s="30" t="str">
        <f t="shared" si="17"/>
        <v/>
      </c>
      <c r="E1105" s="13"/>
      <c r="F1105" s="13"/>
      <c r="G1105" s="12"/>
      <c r="H1105" s="14"/>
    </row>
    <row r="1106" spans="1:8" ht="17.399999999999999" x14ac:dyDescent="0.25">
      <c r="A1106" s="34" t="s">
        <v>552</v>
      </c>
      <c r="B1106" s="35"/>
      <c r="C1106" s="9">
        <v>534.49</v>
      </c>
      <c r="D1106" s="29">
        <f t="shared" si="17"/>
        <v>0.68524358974358979</v>
      </c>
      <c r="E1106" s="10"/>
      <c r="F1106" s="10"/>
      <c r="G1106" s="9"/>
      <c r="H1106" s="11"/>
    </row>
    <row r="1107" spans="1:8" ht="17.399999999999999" x14ac:dyDescent="0.25">
      <c r="A1107" s="32" t="s">
        <v>4</v>
      </c>
      <c r="B1107" s="33"/>
      <c r="C1107" s="12">
        <v>780</v>
      </c>
      <c r="D1107" s="30" t="str">
        <f t="shared" si="17"/>
        <v/>
      </c>
      <c r="E1107" s="13"/>
      <c r="F1107" s="13"/>
      <c r="G1107" s="12"/>
      <c r="H1107" s="14"/>
    </row>
    <row r="1108" spans="1:8" ht="17.399999999999999" x14ac:dyDescent="0.25">
      <c r="A1108" s="34" t="s">
        <v>553</v>
      </c>
      <c r="B1108" s="35"/>
      <c r="C1108" s="15">
        <v>38637.629999999997</v>
      </c>
      <c r="D1108" s="29">
        <f t="shared" si="17"/>
        <v>1.9613010152284263</v>
      </c>
      <c r="E1108" s="10"/>
      <c r="F1108" s="10"/>
      <c r="G1108" s="15"/>
      <c r="H1108" s="11"/>
    </row>
    <row r="1109" spans="1:8" ht="17.399999999999999" x14ac:dyDescent="0.25">
      <c r="A1109" s="32" t="s">
        <v>4</v>
      </c>
      <c r="B1109" s="33"/>
      <c r="C1109" s="16">
        <v>19700</v>
      </c>
      <c r="D1109" s="30" t="str">
        <f t="shared" si="17"/>
        <v/>
      </c>
      <c r="E1109" s="13"/>
      <c r="F1109" s="13"/>
      <c r="G1109" s="16"/>
      <c r="H1109" s="14"/>
    </row>
    <row r="1110" spans="1:8" ht="17.399999999999999" x14ac:dyDescent="0.25">
      <c r="A1110" s="34" t="s">
        <v>554</v>
      </c>
      <c r="B1110" s="35"/>
      <c r="C1110" s="9">
        <v>157.24</v>
      </c>
      <c r="D1110" s="29">
        <f t="shared" si="17"/>
        <v>6.0476923076923077</v>
      </c>
      <c r="E1110" s="10"/>
      <c r="F1110" s="10"/>
      <c r="G1110" s="9"/>
      <c r="H1110" s="11"/>
    </row>
    <row r="1111" spans="1:8" ht="17.399999999999999" x14ac:dyDescent="0.25">
      <c r="A1111" s="32" t="s">
        <v>4</v>
      </c>
      <c r="B1111" s="33"/>
      <c r="C1111" s="12">
        <v>26</v>
      </c>
      <c r="D1111" s="30" t="str">
        <f t="shared" si="17"/>
        <v/>
      </c>
      <c r="E1111" s="13"/>
      <c r="F1111" s="13"/>
      <c r="G1111" s="12"/>
      <c r="H1111" s="14"/>
    </row>
    <row r="1112" spans="1:8" ht="17.399999999999999" x14ac:dyDescent="0.25">
      <c r="A1112" s="34" t="s">
        <v>555</v>
      </c>
      <c r="B1112" s="35"/>
      <c r="C1112" s="15">
        <v>4187.6000000000004</v>
      </c>
      <c r="D1112" s="29">
        <f t="shared" si="17"/>
        <v>2.2274468085106386E-2</v>
      </c>
      <c r="E1112" s="10"/>
      <c r="F1112" s="10"/>
      <c r="G1112" s="15"/>
      <c r="H1112" s="11"/>
    </row>
    <row r="1113" spans="1:8" ht="17.399999999999999" x14ac:dyDescent="0.25">
      <c r="A1113" s="32" t="s">
        <v>4</v>
      </c>
      <c r="B1113" s="33"/>
      <c r="C1113" s="16">
        <v>188000</v>
      </c>
      <c r="D1113" s="30" t="str">
        <f t="shared" si="17"/>
        <v/>
      </c>
      <c r="E1113" s="13"/>
      <c r="F1113" s="13"/>
      <c r="G1113" s="16"/>
      <c r="H1113" s="14"/>
    </row>
    <row r="1114" spans="1:8" ht="17.399999999999999" x14ac:dyDescent="0.25">
      <c r="A1114" s="34" t="s">
        <v>556</v>
      </c>
      <c r="B1114" s="35"/>
      <c r="C1114" s="9">
        <v>620.4</v>
      </c>
      <c r="D1114" s="29">
        <f t="shared" si="17"/>
        <v>28.2</v>
      </c>
      <c r="E1114" s="10"/>
      <c r="F1114" s="10"/>
      <c r="G1114" s="9"/>
      <c r="H1114" s="11"/>
    </row>
    <row r="1115" spans="1:8" ht="17.399999999999999" x14ac:dyDescent="0.25">
      <c r="A1115" s="32" t="s">
        <v>4</v>
      </c>
      <c r="B1115" s="33"/>
      <c r="C1115" s="12">
        <v>22</v>
      </c>
      <c r="D1115" s="30" t="str">
        <f t="shared" si="17"/>
        <v/>
      </c>
      <c r="E1115" s="13"/>
      <c r="F1115" s="13"/>
      <c r="G1115" s="12"/>
      <c r="H1115" s="14"/>
    </row>
    <row r="1116" spans="1:8" ht="17.399999999999999" x14ac:dyDescent="0.25">
      <c r="A1116" s="34" t="s">
        <v>557</v>
      </c>
      <c r="B1116" s="35"/>
      <c r="C1116" s="9">
        <v>929.29</v>
      </c>
      <c r="D1116" s="29">
        <f t="shared" si="17"/>
        <v>2.3232249999999999</v>
      </c>
      <c r="E1116" s="10"/>
      <c r="F1116" s="10"/>
      <c r="G1116" s="9"/>
      <c r="H1116" s="11"/>
    </row>
    <row r="1117" spans="1:8" ht="17.399999999999999" x14ac:dyDescent="0.25">
      <c r="A1117" s="32" t="s">
        <v>4</v>
      </c>
      <c r="B1117" s="33"/>
      <c r="C1117" s="12">
        <v>400</v>
      </c>
      <c r="D1117" s="30" t="str">
        <f t="shared" si="17"/>
        <v/>
      </c>
      <c r="E1117" s="13"/>
      <c r="F1117" s="13"/>
      <c r="G1117" s="12"/>
      <c r="H1117" s="14"/>
    </row>
    <row r="1118" spans="1:8" ht="17.399999999999999" x14ac:dyDescent="0.25">
      <c r="A1118" s="34" t="s">
        <v>558</v>
      </c>
      <c r="B1118" s="35"/>
      <c r="C1118" s="9">
        <v>359.1</v>
      </c>
      <c r="D1118" s="29">
        <f t="shared" si="17"/>
        <v>0.378</v>
      </c>
      <c r="E1118" s="10"/>
      <c r="F1118" s="10"/>
      <c r="G1118" s="9"/>
      <c r="H1118" s="11"/>
    </row>
    <row r="1119" spans="1:8" ht="17.399999999999999" x14ac:dyDescent="0.25">
      <c r="A1119" s="32" t="s">
        <v>4</v>
      </c>
      <c r="B1119" s="33"/>
      <c r="C1119" s="12">
        <v>950</v>
      </c>
      <c r="D1119" s="30" t="str">
        <f t="shared" si="17"/>
        <v/>
      </c>
      <c r="E1119" s="13"/>
      <c r="F1119" s="13"/>
      <c r="G1119" s="12"/>
      <c r="H1119" s="14"/>
    </row>
    <row r="1120" spans="1:8" ht="17.399999999999999" x14ac:dyDescent="0.25">
      <c r="A1120" s="34" t="s">
        <v>559</v>
      </c>
      <c r="B1120" s="35"/>
      <c r="C1120" s="9">
        <v>373.3</v>
      </c>
      <c r="D1120" s="29">
        <f t="shared" si="17"/>
        <v>18.664999999999999</v>
      </c>
      <c r="E1120" s="10"/>
      <c r="F1120" s="10"/>
      <c r="G1120" s="9"/>
      <c r="H1120" s="11"/>
    </row>
    <row r="1121" spans="1:8" ht="17.399999999999999" x14ac:dyDescent="0.25">
      <c r="A1121" s="32" t="s">
        <v>4</v>
      </c>
      <c r="B1121" s="33"/>
      <c r="C1121" s="12">
        <v>20</v>
      </c>
      <c r="D1121" s="30" t="str">
        <f t="shared" si="17"/>
        <v/>
      </c>
      <c r="E1121" s="13"/>
      <c r="F1121" s="13"/>
      <c r="G1121" s="12"/>
      <c r="H1121" s="14"/>
    </row>
    <row r="1122" spans="1:8" ht="17.399999999999999" x14ac:dyDescent="0.25">
      <c r="A1122" s="34" t="s">
        <v>560</v>
      </c>
      <c r="B1122" s="35"/>
      <c r="C1122" s="9">
        <v>139.88999999999999</v>
      </c>
      <c r="D1122" s="29">
        <f t="shared" si="17"/>
        <v>27.977999999999998</v>
      </c>
      <c r="E1122" s="10"/>
      <c r="F1122" s="10"/>
      <c r="G1122" s="9"/>
      <c r="H1122" s="11"/>
    </row>
    <row r="1123" spans="1:8" ht="17.399999999999999" x14ac:dyDescent="0.25">
      <c r="A1123" s="32" t="s">
        <v>4</v>
      </c>
      <c r="B1123" s="33"/>
      <c r="C1123" s="12">
        <v>5</v>
      </c>
      <c r="D1123" s="30" t="str">
        <f t="shared" si="17"/>
        <v/>
      </c>
      <c r="E1123" s="13"/>
      <c r="F1123" s="13"/>
      <c r="G1123" s="12"/>
      <c r="H1123" s="14"/>
    </row>
    <row r="1124" spans="1:8" ht="17.399999999999999" x14ac:dyDescent="0.25">
      <c r="A1124" s="34" t="s">
        <v>561</v>
      </c>
      <c r="B1124" s="35"/>
      <c r="C1124" s="9">
        <v>310.43</v>
      </c>
      <c r="D1124" s="29">
        <f t="shared" si="17"/>
        <v>6.2086000000000006</v>
      </c>
      <c r="E1124" s="10"/>
      <c r="F1124" s="10"/>
      <c r="G1124" s="9"/>
      <c r="H1124" s="11"/>
    </row>
    <row r="1125" spans="1:8" ht="17.399999999999999" x14ac:dyDescent="0.25">
      <c r="A1125" s="32" t="s">
        <v>4</v>
      </c>
      <c r="B1125" s="33"/>
      <c r="C1125" s="12">
        <v>50</v>
      </c>
      <c r="D1125" s="30" t="str">
        <f t="shared" si="17"/>
        <v/>
      </c>
      <c r="E1125" s="13"/>
      <c r="F1125" s="13"/>
      <c r="G1125" s="12"/>
      <c r="H1125" s="14"/>
    </row>
    <row r="1126" spans="1:8" ht="17.399999999999999" x14ac:dyDescent="0.25">
      <c r="A1126" s="34" t="s">
        <v>562</v>
      </c>
      <c r="B1126" s="35"/>
      <c r="C1126" s="15">
        <v>2795.14</v>
      </c>
      <c r="D1126" s="29">
        <f t="shared" si="17"/>
        <v>1.1047984189723319</v>
      </c>
      <c r="E1126" s="10"/>
      <c r="F1126" s="10"/>
      <c r="G1126" s="15"/>
      <c r="H1126" s="11"/>
    </row>
    <row r="1127" spans="1:8" ht="17.399999999999999" x14ac:dyDescent="0.25">
      <c r="A1127" s="32" t="s">
        <v>4</v>
      </c>
      <c r="B1127" s="33"/>
      <c r="C1127" s="16">
        <v>2530</v>
      </c>
      <c r="D1127" s="30" t="str">
        <f t="shared" si="17"/>
        <v/>
      </c>
      <c r="E1127" s="13"/>
      <c r="F1127" s="13"/>
      <c r="G1127" s="16"/>
      <c r="H1127" s="14"/>
    </row>
    <row r="1128" spans="1:8" ht="17.399999999999999" x14ac:dyDescent="0.25">
      <c r="A1128" s="34" t="s">
        <v>563</v>
      </c>
      <c r="B1128" s="35"/>
      <c r="C1128" s="15">
        <v>4718.7</v>
      </c>
      <c r="D1128" s="29">
        <f t="shared" si="17"/>
        <v>1.498</v>
      </c>
      <c r="E1128" s="10"/>
      <c r="F1128" s="10"/>
      <c r="G1128" s="15"/>
      <c r="H1128" s="11"/>
    </row>
    <row r="1129" spans="1:8" ht="17.399999999999999" x14ac:dyDescent="0.25">
      <c r="A1129" s="32" t="s">
        <v>4</v>
      </c>
      <c r="B1129" s="33"/>
      <c r="C1129" s="16">
        <v>3150</v>
      </c>
      <c r="D1129" s="30" t="str">
        <f t="shared" si="17"/>
        <v/>
      </c>
      <c r="E1129" s="13"/>
      <c r="F1129" s="13"/>
      <c r="G1129" s="16"/>
      <c r="H1129" s="14"/>
    </row>
    <row r="1130" spans="1:8" ht="17.399999999999999" x14ac:dyDescent="0.25">
      <c r="A1130" s="34" t="s">
        <v>564</v>
      </c>
      <c r="B1130" s="35"/>
      <c r="C1130" s="9">
        <v>324</v>
      </c>
      <c r="D1130" s="29">
        <f t="shared" si="17"/>
        <v>3.24</v>
      </c>
      <c r="E1130" s="10"/>
      <c r="F1130" s="10"/>
      <c r="G1130" s="9"/>
      <c r="H1130" s="11"/>
    </row>
    <row r="1131" spans="1:8" ht="17.399999999999999" x14ac:dyDescent="0.25">
      <c r="A1131" s="32" t="s">
        <v>4</v>
      </c>
      <c r="B1131" s="33"/>
      <c r="C1131" s="12">
        <v>100</v>
      </c>
      <c r="D1131" s="30" t="str">
        <f t="shared" si="17"/>
        <v/>
      </c>
      <c r="E1131" s="13"/>
      <c r="F1131" s="13"/>
      <c r="G1131" s="12"/>
      <c r="H1131" s="14"/>
    </row>
    <row r="1132" spans="1:8" ht="17.399999999999999" x14ac:dyDescent="0.25">
      <c r="A1132" s="34" t="s">
        <v>565</v>
      </c>
      <c r="B1132" s="35"/>
      <c r="C1132" s="9">
        <v>324</v>
      </c>
      <c r="D1132" s="29">
        <f t="shared" si="17"/>
        <v>3.24</v>
      </c>
      <c r="E1132" s="10"/>
      <c r="F1132" s="10"/>
      <c r="G1132" s="9"/>
      <c r="H1132" s="11"/>
    </row>
    <row r="1133" spans="1:8" ht="17.399999999999999" x14ac:dyDescent="0.25">
      <c r="A1133" s="32" t="s">
        <v>4</v>
      </c>
      <c r="B1133" s="33"/>
      <c r="C1133" s="12">
        <v>100</v>
      </c>
      <c r="D1133" s="30" t="str">
        <f t="shared" si="17"/>
        <v/>
      </c>
      <c r="E1133" s="13"/>
      <c r="F1133" s="13"/>
      <c r="G1133" s="12"/>
      <c r="H1133" s="14"/>
    </row>
    <row r="1134" spans="1:8" ht="17.399999999999999" x14ac:dyDescent="0.25">
      <c r="A1134" s="34" t="s">
        <v>566</v>
      </c>
      <c r="B1134" s="35"/>
      <c r="C1134" s="15">
        <v>2763.03</v>
      </c>
      <c r="D1134" s="29">
        <f t="shared" si="17"/>
        <v>3.2506235294117651</v>
      </c>
      <c r="E1134" s="10"/>
      <c r="F1134" s="10"/>
      <c r="G1134" s="15"/>
      <c r="H1134" s="11"/>
    </row>
    <row r="1135" spans="1:8" ht="17.399999999999999" x14ac:dyDescent="0.25">
      <c r="A1135" s="32" t="s">
        <v>4</v>
      </c>
      <c r="B1135" s="33"/>
      <c r="C1135" s="12">
        <v>850</v>
      </c>
      <c r="D1135" s="30" t="str">
        <f t="shared" si="17"/>
        <v/>
      </c>
      <c r="E1135" s="13"/>
      <c r="F1135" s="13"/>
      <c r="G1135" s="12"/>
      <c r="H1135" s="14"/>
    </row>
    <row r="1136" spans="1:8" ht="17.399999999999999" x14ac:dyDescent="0.25">
      <c r="A1136" s="34" t="s">
        <v>567</v>
      </c>
      <c r="B1136" s="35"/>
      <c r="C1136" s="9">
        <v>189</v>
      </c>
      <c r="D1136" s="29">
        <f t="shared" si="17"/>
        <v>37.799999999999997</v>
      </c>
      <c r="E1136" s="10"/>
      <c r="F1136" s="10"/>
      <c r="G1136" s="9"/>
      <c r="H1136" s="11"/>
    </row>
    <row r="1137" spans="1:8" ht="17.399999999999999" x14ac:dyDescent="0.25">
      <c r="A1137" s="32" t="s">
        <v>4</v>
      </c>
      <c r="B1137" s="33"/>
      <c r="C1137" s="12">
        <v>5</v>
      </c>
      <c r="D1137" s="30" t="str">
        <f t="shared" si="17"/>
        <v/>
      </c>
      <c r="E1137" s="13"/>
      <c r="F1137" s="13"/>
      <c r="G1137" s="12"/>
      <c r="H1137" s="14"/>
    </row>
    <row r="1138" spans="1:8" ht="17.399999999999999" x14ac:dyDescent="0.25">
      <c r="A1138" s="34" t="s">
        <v>568</v>
      </c>
      <c r="B1138" s="35"/>
      <c r="C1138" s="9">
        <v>265.44</v>
      </c>
      <c r="D1138" s="29">
        <f t="shared" si="17"/>
        <v>18.96</v>
      </c>
      <c r="E1138" s="10"/>
      <c r="F1138" s="10"/>
      <c r="G1138" s="9"/>
      <c r="H1138" s="11"/>
    </row>
    <row r="1139" spans="1:8" ht="17.399999999999999" x14ac:dyDescent="0.25">
      <c r="A1139" s="32" t="s">
        <v>4</v>
      </c>
      <c r="B1139" s="33"/>
      <c r="C1139" s="12">
        <v>14</v>
      </c>
      <c r="D1139" s="30" t="str">
        <f t="shared" si="17"/>
        <v/>
      </c>
      <c r="E1139" s="13"/>
      <c r="F1139" s="13"/>
      <c r="G1139" s="12"/>
      <c r="H1139" s="14"/>
    </row>
    <row r="1140" spans="1:8" ht="17.399999999999999" x14ac:dyDescent="0.25">
      <c r="A1140" s="34" t="s">
        <v>569</v>
      </c>
      <c r="B1140" s="35"/>
      <c r="C1140" s="15">
        <v>1452.3</v>
      </c>
      <c r="D1140" s="29">
        <f t="shared" si="17"/>
        <v>9.309615384615384</v>
      </c>
      <c r="E1140" s="10"/>
      <c r="F1140" s="10"/>
      <c r="G1140" s="15"/>
      <c r="H1140" s="11"/>
    </row>
    <row r="1141" spans="1:8" ht="17.399999999999999" x14ac:dyDescent="0.25">
      <c r="A1141" s="32" t="s">
        <v>4</v>
      </c>
      <c r="B1141" s="33"/>
      <c r="C1141" s="12">
        <v>156</v>
      </c>
      <c r="D1141" s="30" t="str">
        <f t="shared" si="17"/>
        <v/>
      </c>
      <c r="E1141" s="13"/>
      <c r="F1141" s="13"/>
      <c r="G1141" s="12"/>
      <c r="H1141" s="14"/>
    </row>
    <row r="1142" spans="1:8" ht="17.399999999999999" x14ac:dyDescent="0.25">
      <c r="A1142" s="34" t="s">
        <v>570</v>
      </c>
      <c r="B1142" s="35"/>
      <c r="C1142" s="9">
        <v>946.08</v>
      </c>
      <c r="D1142" s="29">
        <f t="shared" si="17"/>
        <v>7.8840000000000003</v>
      </c>
      <c r="E1142" s="10"/>
      <c r="F1142" s="10"/>
      <c r="G1142" s="9"/>
      <c r="H1142" s="11"/>
    </row>
    <row r="1143" spans="1:8" ht="17.399999999999999" x14ac:dyDescent="0.25">
      <c r="A1143" s="32" t="s">
        <v>4</v>
      </c>
      <c r="B1143" s="33"/>
      <c r="C1143" s="12">
        <v>120</v>
      </c>
      <c r="D1143" s="30" t="str">
        <f t="shared" si="17"/>
        <v/>
      </c>
      <c r="E1143" s="13"/>
      <c r="F1143" s="13"/>
      <c r="G1143" s="12"/>
      <c r="H1143" s="14"/>
    </row>
    <row r="1144" spans="1:8" ht="17.399999999999999" x14ac:dyDescent="0.25">
      <c r="A1144" s="34" t="s">
        <v>571</v>
      </c>
      <c r="B1144" s="35"/>
      <c r="C1144" s="9">
        <v>278.64</v>
      </c>
      <c r="D1144" s="29">
        <f t="shared" si="17"/>
        <v>46.44</v>
      </c>
      <c r="E1144" s="10"/>
      <c r="F1144" s="10"/>
      <c r="G1144" s="9"/>
      <c r="H1144" s="11"/>
    </row>
    <row r="1145" spans="1:8" ht="17.399999999999999" x14ac:dyDescent="0.25">
      <c r="A1145" s="32" t="s">
        <v>4</v>
      </c>
      <c r="B1145" s="33"/>
      <c r="C1145" s="12">
        <v>6</v>
      </c>
      <c r="D1145" s="30" t="str">
        <f t="shared" si="17"/>
        <v/>
      </c>
      <c r="E1145" s="13"/>
      <c r="F1145" s="13"/>
      <c r="G1145" s="12"/>
      <c r="H1145" s="14"/>
    </row>
    <row r="1146" spans="1:8" ht="17.399999999999999" x14ac:dyDescent="0.25">
      <c r="A1146" s="34" t="s">
        <v>572</v>
      </c>
      <c r="B1146" s="35"/>
      <c r="C1146" s="15">
        <v>13032.84</v>
      </c>
      <c r="D1146" s="29">
        <f t="shared" si="17"/>
        <v>0.18888173913043479</v>
      </c>
      <c r="E1146" s="10"/>
      <c r="F1146" s="10"/>
      <c r="G1146" s="15"/>
      <c r="H1146" s="11"/>
    </row>
    <row r="1147" spans="1:8" ht="17.399999999999999" x14ac:dyDescent="0.25">
      <c r="A1147" s="32" t="s">
        <v>4</v>
      </c>
      <c r="B1147" s="33"/>
      <c r="C1147" s="16">
        <v>69000</v>
      </c>
      <c r="D1147" s="30" t="str">
        <f t="shared" si="17"/>
        <v/>
      </c>
      <c r="E1147" s="13"/>
      <c r="F1147" s="13"/>
      <c r="G1147" s="16"/>
      <c r="H1147" s="14"/>
    </row>
    <row r="1148" spans="1:8" ht="17.399999999999999" x14ac:dyDescent="0.25">
      <c r="A1148" s="34" t="s">
        <v>573</v>
      </c>
      <c r="B1148" s="35"/>
      <c r="C1148" s="9">
        <v>325.98</v>
      </c>
      <c r="D1148" s="29">
        <f t="shared" si="17"/>
        <v>3.3263265306122451</v>
      </c>
      <c r="E1148" s="10"/>
      <c r="F1148" s="10"/>
      <c r="G1148" s="9"/>
      <c r="H1148" s="11"/>
    </row>
    <row r="1149" spans="1:8" ht="17.399999999999999" x14ac:dyDescent="0.25">
      <c r="A1149" s="32" t="s">
        <v>4</v>
      </c>
      <c r="B1149" s="33"/>
      <c r="C1149" s="12">
        <v>98</v>
      </c>
      <c r="D1149" s="30" t="str">
        <f t="shared" si="17"/>
        <v/>
      </c>
      <c r="E1149" s="13"/>
      <c r="F1149" s="13"/>
      <c r="G1149" s="12"/>
      <c r="H1149" s="14"/>
    </row>
    <row r="1150" spans="1:8" ht="17.399999999999999" x14ac:dyDescent="0.25">
      <c r="A1150" s="34" t="s">
        <v>574</v>
      </c>
      <c r="B1150" s="35"/>
      <c r="C1150" s="9">
        <v>143.91999999999999</v>
      </c>
      <c r="D1150" s="29">
        <f t="shared" si="17"/>
        <v>2.3986666666666663</v>
      </c>
      <c r="E1150" s="10"/>
      <c r="F1150" s="10"/>
      <c r="G1150" s="9"/>
      <c r="H1150" s="11"/>
    </row>
    <row r="1151" spans="1:8" ht="17.399999999999999" x14ac:dyDescent="0.25">
      <c r="A1151" s="32" t="s">
        <v>4</v>
      </c>
      <c r="B1151" s="33"/>
      <c r="C1151" s="12">
        <v>60</v>
      </c>
      <c r="D1151" s="30" t="str">
        <f t="shared" si="17"/>
        <v/>
      </c>
      <c r="E1151" s="13"/>
      <c r="F1151" s="13"/>
      <c r="G1151" s="12"/>
      <c r="H1151" s="14"/>
    </row>
    <row r="1152" spans="1:8" ht="17.399999999999999" x14ac:dyDescent="0.25">
      <c r="A1152" s="34" t="s">
        <v>575</v>
      </c>
      <c r="B1152" s="35"/>
      <c r="C1152" s="9">
        <v>454.86</v>
      </c>
      <c r="D1152" s="29">
        <f t="shared" si="17"/>
        <v>64.98</v>
      </c>
      <c r="E1152" s="10"/>
      <c r="F1152" s="10"/>
      <c r="G1152" s="9"/>
      <c r="H1152" s="11"/>
    </row>
    <row r="1153" spans="1:8" ht="17.399999999999999" x14ac:dyDescent="0.25">
      <c r="A1153" s="32" t="s">
        <v>4</v>
      </c>
      <c r="B1153" s="33"/>
      <c r="C1153" s="12">
        <v>7</v>
      </c>
      <c r="D1153" s="30" t="str">
        <f t="shared" si="17"/>
        <v/>
      </c>
      <c r="E1153" s="13"/>
      <c r="F1153" s="13"/>
      <c r="G1153" s="12"/>
      <c r="H1153" s="14"/>
    </row>
    <row r="1154" spans="1:8" ht="17.399999999999999" x14ac:dyDescent="0.25">
      <c r="A1154" s="34" t="s">
        <v>576</v>
      </c>
      <c r="B1154" s="35"/>
      <c r="C1154" s="9">
        <v>226.34</v>
      </c>
      <c r="D1154" s="29">
        <f t="shared" si="17"/>
        <v>0.49204347826086958</v>
      </c>
      <c r="E1154" s="10"/>
      <c r="F1154" s="10"/>
      <c r="G1154" s="9"/>
      <c r="H1154" s="11"/>
    </row>
    <row r="1155" spans="1:8" ht="17.399999999999999" x14ac:dyDescent="0.25">
      <c r="A1155" s="32" t="s">
        <v>4</v>
      </c>
      <c r="B1155" s="33"/>
      <c r="C1155" s="12">
        <v>460</v>
      </c>
      <c r="D1155" s="30" t="str">
        <f t="shared" si="17"/>
        <v/>
      </c>
      <c r="E1155" s="13"/>
      <c r="F1155" s="13"/>
      <c r="G1155" s="12"/>
      <c r="H1155" s="14"/>
    </row>
    <row r="1156" spans="1:8" ht="17.399999999999999" x14ac:dyDescent="0.25">
      <c r="A1156" s="34" t="s">
        <v>577</v>
      </c>
      <c r="B1156" s="35"/>
      <c r="C1156" s="9">
        <v>951.62</v>
      </c>
      <c r="D1156" s="29">
        <f t="shared" si="17"/>
        <v>7.7367479674796744</v>
      </c>
      <c r="E1156" s="10"/>
      <c r="F1156" s="10"/>
      <c r="G1156" s="9"/>
      <c r="H1156" s="11"/>
    </row>
    <row r="1157" spans="1:8" ht="17.399999999999999" x14ac:dyDescent="0.25">
      <c r="A1157" s="32" t="s">
        <v>4</v>
      </c>
      <c r="B1157" s="33"/>
      <c r="C1157" s="12">
        <v>123</v>
      </c>
      <c r="D1157" s="30" t="str">
        <f t="shared" si="17"/>
        <v/>
      </c>
      <c r="E1157" s="13"/>
      <c r="F1157" s="13"/>
      <c r="G1157" s="12"/>
      <c r="H1157" s="14"/>
    </row>
    <row r="1158" spans="1:8" ht="17.399999999999999" x14ac:dyDescent="0.25">
      <c r="A1158" s="34" t="s">
        <v>578</v>
      </c>
      <c r="B1158" s="35"/>
      <c r="C1158" s="15">
        <v>1676.7</v>
      </c>
      <c r="D1158" s="29">
        <f t="shared" si="17"/>
        <v>11.178000000000001</v>
      </c>
      <c r="E1158" s="10"/>
      <c r="F1158" s="10"/>
      <c r="G1158" s="15"/>
      <c r="H1158" s="11"/>
    </row>
    <row r="1159" spans="1:8" ht="17.399999999999999" x14ac:dyDescent="0.25">
      <c r="A1159" s="32" t="s">
        <v>4</v>
      </c>
      <c r="B1159" s="33"/>
      <c r="C1159" s="12">
        <v>150</v>
      </c>
      <c r="D1159" s="30" t="str">
        <f t="shared" si="17"/>
        <v/>
      </c>
      <c r="E1159" s="13"/>
      <c r="F1159" s="13"/>
      <c r="G1159" s="12"/>
      <c r="H1159" s="14"/>
    </row>
    <row r="1160" spans="1:8" ht="17.399999999999999" x14ac:dyDescent="0.25">
      <c r="A1160" s="34" t="s">
        <v>579</v>
      </c>
      <c r="B1160" s="35"/>
      <c r="C1160" s="15">
        <v>1455.64</v>
      </c>
      <c r="D1160" s="29">
        <f t="shared" si="17"/>
        <v>10.782518518518518</v>
      </c>
      <c r="E1160" s="10"/>
      <c r="F1160" s="10"/>
      <c r="G1160" s="15"/>
      <c r="H1160" s="11"/>
    </row>
    <row r="1161" spans="1:8" ht="17.399999999999999" x14ac:dyDescent="0.25">
      <c r="A1161" s="32" t="s">
        <v>4</v>
      </c>
      <c r="B1161" s="33"/>
      <c r="C1161" s="12">
        <v>135</v>
      </c>
      <c r="D1161" s="30" t="str">
        <f t="shared" si="17"/>
        <v/>
      </c>
      <c r="E1161" s="13"/>
      <c r="F1161" s="13"/>
      <c r="G1161" s="12"/>
      <c r="H1161" s="14"/>
    </row>
    <row r="1162" spans="1:8" ht="17.399999999999999" x14ac:dyDescent="0.25">
      <c r="A1162" s="34" t="s">
        <v>580</v>
      </c>
      <c r="B1162" s="35"/>
      <c r="C1162" s="15">
        <v>5085.12</v>
      </c>
      <c r="D1162" s="29">
        <f t="shared" ref="D1162:D1225" si="18">IF($A1163="Кол-во",IFERROR($C1162/$C1163,""),"")</f>
        <v>15.940815047021943</v>
      </c>
      <c r="E1162" s="10"/>
      <c r="F1162" s="10"/>
      <c r="G1162" s="15"/>
      <c r="H1162" s="11"/>
    </row>
    <row r="1163" spans="1:8" ht="17.399999999999999" x14ac:dyDescent="0.25">
      <c r="A1163" s="32" t="s">
        <v>4</v>
      </c>
      <c r="B1163" s="33"/>
      <c r="C1163" s="12">
        <v>319</v>
      </c>
      <c r="D1163" s="30" t="str">
        <f t="shared" si="18"/>
        <v/>
      </c>
      <c r="E1163" s="13"/>
      <c r="F1163" s="13"/>
      <c r="G1163" s="12"/>
      <c r="H1163" s="14"/>
    </row>
    <row r="1164" spans="1:8" ht="17.399999999999999" x14ac:dyDescent="0.25">
      <c r="A1164" s="34" t="s">
        <v>581</v>
      </c>
      <c r="B1164" s="35"/>
      <c r="C1164" s="9">
        <v>383.18</v>
      </c>
      <c r="D1164" s="29">
        <f t="shared" si="18"/>
        <v>95.795000000000002</v>
      </c>
      <c r="E1164" s="10"/>
      <c r="F1164" s="10"/>
      <c r="G1164" s="9"/>
      <c r="H1164" s="11"/>
    </row>
    <row r="1165" spans="1:8" ht="17.399999999999999" x14ac:dyDescent="0.25">
      <c r="A1165" s="32" t="s">
        <v>4</v>
      </c>
      <c r="B1165" s="33"/>
      <c r="C1165" s="12">
        <v>4</v>
      </c>
      <c r="D1165" s="30" t="str">
        <f t="shared" si="18"/>
        <v/>
      </c>
      <c r="E1165" s="13"/>
      <c r="F1165" s="13"/>
      <c r="G1165" s="12"/>
      <c r="H1165" s="14"/>
    </row>
    <row r="1166" spans="1:8" ht="17.399999999999999" x14ac:dyDescent="0.25">
      <c r="A1166" s="34" t="s">
        <v>582</v>
      </c>
      <c r="B1166" s="35"/>
      <c r="C1166" s="15">
        <v>7167.39</v>
      </c>
      <c r="D1166" s="29">
        <f t="shared" si="18"/>
        <v>170.65214285714288</v>
      </c>
      <c r="E1166" s="10"/>
      <c r="F1166" s="10"/>
      <c r="G1166" s="15"/>
      <c r="H1166" s="11"/>
    </row>
    <row r="1167" spans="1:8" ht="17.399999999999999" x14ac:dyDescent="0.25">
      <c r="A1167" s="32" t="s">
        <v>4</v>
      </c>
      <c r="B1167" s="33"/>
      <c r="C1167" s="12">
        <v>42</v>
      </c>
      <c r="D1167" s="30" t="str">
        <f t="shared" si="18"/>
        <v/>
      </c>
      <c r="E1167" s="13"/>
      <c r="F1167" s="13"/>
      <c r="G1167" s="12"/>
      <c r="H1167" s="14"/>
    </row>
    <row r="1168" spans="1:8" ht="17.399999999999999" x14ac:dyDescent="0.25">
      <c r="A1168" s="34" t="s">
        <v>583</v>
      </c>
      <c r="B1168" s="35"/>
      <c r="C1168" s="9">
        <v>959.15</v>
      </c>
      <c r="D1168" s="29">
        <f t="shared" si="18"/>
        <v>1.1556024096385542</v>
      </c>
      <c r="E1168" s="10"/>
      <c r="F1168" s="10"/>
      <c r="G1168" s="9"/>
      <c r="H1168" s="11"/>
    </row>
    <row r="1169" spans="1:8" ht="17.399999999999999" x14ac:dyDescent="0.25">
      <c r="A1169" s="32" t="s">
        <v>4</v>
      </c>
      <c r="B1169" s="33"/>
      <c r="C1169" s="12">
        <v>830</v>
      </c>
      <c r="D1169" s="30" t="str">
        <f t="shared" si="18"/>
        <v/>
      </c>
      <c r="E1169" s="13"/>
      <c r="F1169" s="13"/>
      <c r="G1169" s="12"/>
      <c r="H1169" s="14"/>
    </row>
    <row r="1170" spans="1:8" ht="17.399999999999999" x14ac:dyDescent="0.25">
      <c r="A1170" s="34" t="s">
        <v>584</v>
      </c>
      <c r="B1170" s="35"/>
      <c r="C1170" s="9">
        <v>14.39</v>
      </c>
      <c r="D1170" s="29">
        <f t="shared" si="18"/>
        <v>0.5139285714285714</v>
      </c>
      <c r="E1170" s="10"/>
      <c r="F1170" s="10"/>
      <c r="G1170" s="9"/>
      <c r="H1170" s="11"/>
    </row>
    <row r="1171" spans="1:8" ht="17.399999999999999" x14ac:dyDescent="0.25">
      <c r="A1171" s="32" t="s">
        <v>4</v>
      </c>
      <c r="B1171" s="33"/>
      <c r="C1171" s="12">
        <v>28</v>
      </c>
      <c r="D1171" s="30" t="str">
        <f t="shared" si="18"/>
        <v/>
      </c>
      <c r="E1171" s="13"/>
      <c r="F1171" s="13"/>
      <c r="G1171" s="12"/>
      <c r="H1171" s="14"/>
    </row>
    <row r="1172" spans="1:8" ht="17.399999999999999" x14ac:dyDescent="0.25">
      <c r="A1172" s="34" t="s">
        <v>585</v>
      </c>
      <c r="B1172" s="35"/>
      <c r="C1172" s="9">
        <v>317.31</v>
      </c>
      <c r="D1172" s="29">
        <f t="shared" si="18"/>
        <v>22.664999999999999</v>
      </c>
      <c r="E1172" s="10"/>
      <c r="F1172" s="10"/>
      <c r="G1172" s="9"/>
      <c r="H1172" s="11"/>
    </row>
    <row r="1173" spans="1:8" ht="17.399999999999999" x14ac:dyDescent="0.25">
      <c r="A1173" s="32" t="s">
        <v>4</v>
      </c>
      <c r="B1173" s="33"/>
      <c r="C1173" s="12">
        <v>14</v>
      </c>
      <c r="D1173" s="30" t="str">
        <f t="shared" si="18"/>
        <v/>
      </c>
      <c r="E1173" s="13"/>
      <c r="F1173" s="13"/>
      <c r="G1173" s="12"/>
      <c r="H1173" s="14"/>
    </row>
    <row r="1174" spans="1:8" ht="17.399999999999999" x14ac:dyDescent="0.25">
      <c r="A1174" s="34" t="s">
        <v>586</v>
      </c>
      <c r="B1174" s="35"/>
      <c r="C1174" s="9">
        <v>344.74</v>
      </c>
      <c r="D1174" s="29">
        <f t="shared" si="18"/>
        <v>11.491333333333333</v>
      </c>
      <c r="E1174" s="10"/>
      <c r="F1174" s="10"/>
      <c r="G1174" s="9"/>
      <c r="H1174" s="11"/>
    </row>
    <row r="1175" spans="1:8" ht="17.399999999999999" x14ac:dyDescent="0.25">
      <c r="A1175" s="32" t="s">
        <v>4</v>
      </c>
      <c r="B1175" s="33"/>
      <c r="C1175" s="12">
        <v>30</v>
      </c>
      <c r="D1175" s="30" t="str">
        <f t="shared" si="18"/>
        <v/>
      </c>
      <c r="E1175" s="13"/>
      <c r="F1175" s="13"/>
      <c r="G1175" s="12"/>
      <c r="H1175" s="14"/>
    </row>
    <row r="1176" spans="1:8" ht="17.399999999999999" x14ac:dyDescent="0.25">
      <c r="A1176" s="34" t="s">
        <v>587</v>
      </c>
      <c r="B1176" s="35"/>
      <c r="C1176" s="15">
        <v>1008</v>
      </c>
      <c r="D1176" s="29">
        <f t="shared" si="18"/>
        <v>33.6</v>
      </c>
      <c r="E1176" s="10"/>
      <c r="F1176" s="10"/>
      <c r="G1176" s="15"/>
      <c r="H1176" s="11"/>
    </row>
    <row r="1177" spans="1:8" ht="17.399999999999999" x14ac:dyDescent="0.25">
      <c r="A1177" s="32" t="s">
        <v>4</v>
      </c>
      <c r="B1177" s="33"/>
      <c r="C1177" s="12">
        <v>30</v>
      </c>
      <c r="D1177" s="30" t="str">
        <f t="shared" si="18"/>
        <v/>
      </c>
      <c r="E1177" s="13"/>
      <c r="F1177" s="13"/>
      <c r="G1177" s="12"/>
      <c r="H1177" s="14"/>
    </row>
    <row r="1178" spans="1:8" ht="17.399999999999999" x14ac:dyDescent="0.25">
      <c r="A1178" s="34" t="s">
        <v>588</v>
      </c>
      <c r="B1178" s="35"/>
      <c r="C1178" s="9">
        <v>53.28</v>
      </c>
      <c r="D1178" s="29">
        <f t="shared" si="18"/>
        <v>0.88800000000000001</v>
      </c>
      <c r="E1178" s="10"/>
      <c r="F1178" s="10"/>
      <c r="G1178" s="9"/>
      <c r="H1178" s="11"/>
    </row>
    <row r="1179" spans="1:8" ht="17.399999999999999" x14ac:dyDescent="0.25">
      <c r="A1179" s="32" t="s">
        <v>4</v>
      </c>
      <c r="B1179" s="33"/>
      <c r="C1179" s="12">
        <v>60</v>
      </c>
      <c r="D1179" s="30" t="str">
        <f t="shared" si="18"/>
        <v/>
      </c>
      <c r="E1179" s="13"/>
      <c r="F1179" s="13"/>
      <c r="G1179" s="12"/>
      <c r="H1179" s="14"/>
    </row>
    <row r="1180" spans="1:8" ht="17.399999999999999" x14ac:dyDescent="0.25">
      <c r="A1180" s="34" t="s">
        <v>589</v>
      </c>
      <c r="B1180" s="35"/>
      <c r="C1180" s="15">
        <v>7030.72</v>
      </c>
      <c r="D1180" s="29">
        <f t="shared" si="18"/>
        <v>2.8933004115226337</v>
      </c>
      <c r="E1180" s="10"/>
      <c r="F1180" s="10"/>
      <c r="G1180" s="15"/>
      <c r="H1180" s="11"/>
    </row>
    <row r="1181" spans="1:8" ht="17.399999999999999" x14ac:dyDescent="0.25">
      <c r="A1181" s="32" t="s">
        <v>4</v>
      </c>
      <c r="B1181" s="33"/>
      <c r="C1181" s="16">
        <v>2430</v>
      </c>
      <c r="D1181" s="30" t="str">
        <f t="shared" si="18"/>
        <v/>
      </c>
      <c r="E1181" s="13"/>
      <c r="F1181" s="13"/>
      <c r="G1181" s="16"/>
      <c r="H1181" s="14"/>
    </row>
    <row r="1182" spans="1:8" ht="17.399999999999999" x14ac:dyDescent="0.25">
      <c r="A1182" s="34" t="s">
        <v>590</v>
      </c>
      <c r="B1182" s="35"/>
      <c r="C1182" s="9">
        <v>162</v>
      </c>
      <c r="D1182" s="29">
        <f t="shared" si="18"/>
        <v>32.4</v>
      </c>
      <c r="E1182" s="10"/>
      <c r="F1182" s="10"/>
      <c r="G1182" s="9"/>
      <c r="H1182" s="11"/>
    </row>
    <row r="1183" spans="1:8" ht="17.399999999999999" x14ac:dyDescent="0.25">
      <c r="A1183" s="32" t="s">
        <v>4</v>
      </c>
      <c r="B1183" s="33"/>
      <c r="C1183" s="12">
        <v>5</v>
      </c>
      <c r="D1183" s="30" t="str">
        <f t="shared" si="18"/>
        <v/>
      </c>
      <c r="E1183" s="13"/>
      <c r="F1183" s="13"/>
      <c r="G1183" s="12"/>
      <c r="H1183" s="14"/>
    </row>
    <row r="1184" spans="1:8" ht="17.399999999999999" x14ac:dyDescent="0.25">
      <c r="A1184" s="34" t="s">
        <v>591</v>
      </c>
      <c r="B1184" s="35"/>
      <c r="C1184" s="9">
        <v>78</v>
      </c>
      <c r="D1184" s="29">
        <f t="shared" si="18"/>
        <v>0.65</v>
      </c>
      <c r="E1184" s="10"/>
      <c r="F1184" s="10"/>
      <c r="G1184" s="9"/>
      <c r="H1184" s="11"/>
    </row>
    <row r="1185" spans="1:8" ht="17.399999999999999" x14ac:dyDescent="0.25">
      <c r="A1185" s="32" t="s">
        <v>4</v>
      </c>
      <c r="B1185" s="33"/>
      <c r="C1185" s="12">
        <v>120</v>
      </c>
      <c r="D1185" s="30" t="str">
        <f t="shared" si="18"/>
        <v/>
      </c>
      <c r="E1185" s="13"/>
      <c r="F1185" s="13"/>
      <c r="G1185" s="12"/>
      <c r="H1185" s="14"/>
    </row>
    <row r="1186" spans="1:8" ht="17.399999999999999" x14ac:dyDescent="0.25">
      <c r="A1186" s="34" t="s">
        <v>592</v>
      </c>
      <c r="B1186" s="35"/>
      <c r="C1186" s="9">
        <v>52.5</v>
      </c>
      <c r="D1186" s="29">
        <f t="shared" si="18"/>
        <v>0.58333333333333337</v>
      </c>
      <c r="E1186" s="10"/>
      <c r="F1186" s="10"/>
      <c r="G1186" s="9"/>
      <c r="H1186" s="11"/>
    </row>
    <row r="1187" spans="1:8" ht="17.399999999999999" x14ac:dyDescent="0.25">
      <c r="A1187" s="32" t="s">
        <v>4</v>
      </c>
      <c r="B1187" s="33"/>
      <c r="C1187" s="12">
        <v>90</v>
      </c>
      <c r="D1187" s="30" t="str">
        <f t="shared" si="18"/>
        <v/>
      </c>
      <c r="E1187" s="13"/>
      <c r="F1187" s="13"/>
      <c r="G1187" s="12"/>
      <c r="H1187" s="14"/>
    </row>
    <row r="1188" spans="1:8" ht="17.399999999999999" x14ac:dyDescent="0.25">
      <c r="A1188" s="34" t="s">
        <v>593</v>
      </c>
      <c r="B1188" s="35"/>
      <c r="C1188" s="15">
        <v>1348.18</v>
      </c>
      <c r="D1188" s="29">
        <f t="shared" si="18"/>
        <v>2.2469666666666668</v>
      </c>
      <c r="E1188" s="10"/>
      <c r="F1188" s="10"/>
      <c r="G1188" s="15"/>
      <c r="H1188" s="11"/>
    </row>
    <row r="1189" spans="1:8" ht="17.399999999999999" x14ac:dyDescent="0.25">
      <c r="A1189" s="32" t="s">
        <v>4</v>
      </c>
      <c r="B1189" s="33"/>
      <c r="C1189" s="12">
        <v>600</v>
      </c>
      <c r="D1189" s="30" t="str">
        <f t="shared" si="18"/>
        <v/>
      </c>
      <c r="E1189" s="13"/>
      <c r="F1189" s="13"/>
      <c r="G1189" s="12"/>
      <c r="H1189" s="14"/>
    </row>
    <row r="1190" spans="1:8" ht="17.399999999999999" x14ac:dyDescent="0.25">
      <c r="A1190" s="34" t="s">
        <v>594</v>
      </c>
      <c r="B1190" s="35"/>
      <c r="C1190" s="15">
        <v>5757.1</v>
      </c>
      <c r="D1190" s="29">
        <f t="shared" si="18"/>
        <v>4.141798561151079</v>
      </c>
      <c r="E1190" s="10"/>
      <c r="F1190" s="10"/>
      <c r="G1190" s="15"/>
      <c r="H1190" s="11"/>
    </row>
    <row r="1191" spans="1:8" ht="17.399999999999999" x14ac:dyDescent="0.25">
      <c r="A1191" s="32" t="s">
        <v>4</v>
      </c>
      <c r="B1191" s="33"/>
      <c r="C1191" s="16">
        <v>1390</v>
      </c>
      <c r="D1191" s="30" t="str">
        <f t="shared" si="18"/>
        <v/>
      </c>
      <c r="E1191" s="13"/>
      <c r="F1191" s="13"/>
      <c r="G1191" s="16"/>
      <c r="H1191" s="14"/>
    </row>
    <row r="1192" spans="1:8" ht="17.399999999999999" x14ac:dyDescent="0.25">
      <c r="A1192" s="34" t="s">
        <v>595</v>
      </c>
      <c r="B1192" s="35"/>
      <c r="C1192" s="15">
        <v>3769.08</v>
      </c>
      <c r="D1192" s="29">
        <f t="shared" si="18"/>
        <v>27.919111111111111</v>
      </c>
      <c r="E1192" s="10"/>
      <c r="F1192" s="10"/>
      <c r="G1192" s="15"/>
      <c r="H1192" s="11"/>
    </row>
    <row r="1193" spans="1:8" ht="17.399999999999999" x14ac:dyDescent="0.25">
      <c r="A1193" s="32" t="s">
        <v>4</v>
      </c>
      <c r="B1193" s="33"/>
      <c r="C1193" s="12">
        <v>135</v>
      </c>
      <c r="D1193" s="30" t="str">
        <f t="shared" si="18"/>
        <v/>
      </c>
      <c r="E1193" s="13"/>
      <c r="F1193" s="13"/>
      <c r="G1193" s="12"/>
      <c r="H1193" s="14"/>
    </row>
    <row r="1194" spans="1:8" ht="17.399999999999999" x14ac:dyDescent="0.25">
      <c r="A1194" s="34" t="s">
        <v>596</v>
      </c>
      <c r="B1194" s="35"/>
      <c r="C1194" s="15">
        <v>3436.99</v>
      </c>
      <c r="D1194" s="29">
        <f t="shared" si="18"/>
        <v>44.636233766233765</v>
      </c>
      <c r="E1194" s="10"/>
      <c r="F1194" s="10"/>
      <c r="G1194" s="15"/>
      <c r="H1194" s="11"/>
    </row>
    <row r="1195" spans="1:8" ht="17.399999999999999" x14ac:dyDescent="0.25">
      <c r="A1195" s="32" t="s">
        <v>4</v>
      </c>
      <c r="B1195" s="33"/>
      <c r="C1195" s="12">
        <v>77</v>
      </c>
      <c r="D1195" s="30" t="str">
        <f t="shared" si="18"/>
        <v/>
      </c>
      <c r="E1195" s="13"/>
      <c r="F1195" s="13"/>
      <c r="G1195" s="12"/>
      <c r="H1195" s="14"/>
    </row>
    <row r="1196" spans="1:8" ht="17.399999999999999" x14ac:dyDescent="0.25">
      <c r="A1196" s="34" t="s">
        <v>597</v>
      </c>
      <c r="B1196" s="35"/>
      <c r="C1196" s="9">
        <v>15.6</v>
      </c>
      <c r="D1196" s="29">
        <f t="shared" si="18"/>
        <v>0.78</v>
      </c>
      <c r="E1196" s="10"/>
      <c r="F1196" s="10"/>
      <c r="G1196" s="9"/>
      <c r="H1196" s="11"/>
    </row>
    <row r="1197" spans="1:8" ht="17.399999999999999" x14ac:dyDescent="0.25">
      <c r="A1197" s="32" t="s">
        <v>4</v>
      </c>
      <c r="B1197" s="33"/>
      <c r="C1197" s="12">
        <v>20</v>
      </c>
      <c r="D1197" s="30" t="str">
        <f t="shared" si="18"/>
        <v/>
      </c>
      <c r="E1197" s="13"/>
      <c r="F1197" s="13"/>
      <c r="G1197" s="12"/>
      <c r="H1197" s="14"/>
    </row>
    <row r="1198" spans="1:8" ht="17.399999999999999" x14ac:dyDescent="0.25">
      <c r="A1198" s="34" t="s">
        <v>598</v>
      </c>
      <c r="B1198" s="35"/>
      <c r="C1198" s="9">
        <v>180.88</v>
      </c>
      <c r="D1198" s="29">
        <f t="shared" si="18"/>
        <v>1.8088</v>
      </c>
      <c r="E1198" s="10"/>
      <c r="F1198" s="10"/>
      <c r="G1198" s="9"/>
      <c r="H1198" s="11"/>
    </row>
    <row r="1199" spans="1:8" ht="17.399999999999999" x14ac:dyDescent="0.25">
      <c r="A1199" s="32" t="s">
        <v>4</v>
      </c>
      <c r="B1199" s="33"/>
      <c r="C1199" s="12">
        <v>100</v>
      </c>
      <c r="D1199" s="30" t="str">
        <f t="shared" si="18"/>
        <v/>
      </c>
      <c r="E1199" s="13"/>
      <c r="F1199" s="13"/>
      <c r="G1199" s="12"/>
      <c r="H1199" s="14"/>
    </row>
    <row r="1200" spans="1:8" ht="17.399999999999999" x14ac:dyDescent="0.25">
      <c r="A1200" s="34" t="s">
        <v>599</v>
      </c>
      <c r="B1200" s="35"/>
      <c r="C1200" s="15">
        <v>3355.41</v>
      </c>
      <c r="D1200" s="29">
        <f t="shared" si="18"/>
        <v>1.567948598130841</v>
      </c>
      <c r="E1200" s="10"/>
      <c r="F1200" s="10"/>
      <c r="G1200" s="15"/>
      <c r="H1200" s="11"/>
    </row>
    <row r="1201" spans="1:8" ht="17.399999999999999" x14ac:dyDescent="0.25">
      <c r="A1201" s="32" t="s">
        <v>4</v>
      </c>
      <c r="B1201" s="33"/>
      <c r="C1201" s="16">
        <v>2140</v>
      </c>
      <c r="D1201" s="30" t="str">
        <f t="shared" si="18"/>
        <v/>
      </c>
      <c r="E1201" s="13"/>
      <c r="F1201" s="13"/>
      <c r="G1201" s="16"/>
      <c r="H1201" s="14"/>
    </row>
    <row r="1202" spans="1:8" ht="17.399999999999999" x14ac:dyDescent="0.25">
      <c r="A1202" s="34" t="s">
        <v>600</v>
      </c>
      <c r="B1202" s="35"/>
      <c r="C1202" s="9">
        <v>31.36</v>
      </c>
      <c r="D1202" s="29">
        <f t="shared" si="18"/>
        <v>1.5680000000000001</v>
      </c>
      <c r="E1202" s="10"/>
      <c r="F1202" s="10"/>
      <c r="G1202" s="9"/>
      <c r="H1202" s="11"/>
    </row>
    <row r="1203" spans="1:8" ht="17.399999999999999" x14ac:dyDescent="0.25">
      <c r="A1203" s="32" t="s">
        <v>4</v>
      </c>
      <c r="B1203" s="33"/>
      <c r="C1203" s="12">
        <v>20</v>
      </c>
      <c r="D1203" s="30" t="str">
        <f t="shared" si="18"/>
        <v/>
      </c>
      <c r="E1203" s="13"/>
      <c r="F1203" s="13"/>
      <c r="G1203" s="12"/>
      <c r="H1203" s="14"/>
    </row>
    <row r="1204" spans="1:8" ht="17.399999999999999" x14ac:dyDescent="0.25">
      <c r="A1204" s="34" t="s">
        <v>601</v>
      </c>
      <c r="B1204" s="35"/>
      <c r="C1204" s="9">
        <v>62.55</v>
      </c>
      <c r="D1204" s="29">
        <f t="shared" si="18"/>
        <v>0.78187499999999999</v>
      </c>
      <c r="E1204" s="10"/>
      <c r="F1204" s="10"/>
      <c r="G1204" s="9"/>
      <c r="H1204" s="11"/>
    </row>
    <row r="1205" spans="1:8" ht="17.399999999999999" x14ac:dyDescent="0.25">
      <c r="A1205" s="32" t="s">
        <v>4</v>
      </c>
      <c r="B1205" s="33"/>
      <c r="C1205" s="12">
        <v>80</v>
      </c>
      <c r="D1205" s="30" t="str">
        <f t="shared" si="18"/>
        <v/>
      </c>
      <c r="E1205" s="13"/>
      <c r="F1205" s="13"/>
      <c r="G1205" s="12"/>
      <c r="H1205" s="14"/>
    </row>
    <row r="1206" spans="1:8" ht="17.399999999999999" x14ac:dyDescent="0.25">
      <c r="A1206" s="34" t="s">
        <v>602</v>
      </c>
      <c r="B1206" s="35"/>
      <c r="C1206" s="9">
        <v>636.55999999999995</v>
      </c>
      <c r="D1206" s="29">
        <f t="shared" si="18"/>
        <v>31.827999999999996</v>
      </c>
      <c r="E1206" s="10"/>
      <c r="F1206" s="10"/>
      <c r="G1206" s="9"/>
      <c r="H1206" s="11"/>
    </row>
    <row r="1207" spans="1:8" ht="17.399999999999999" x14ac:dyDescent="0.25">
      <c r="A1207" s="32" t="s">
        <v>4</v>
      </c>
      <c r="B1207" s="33"/>
      <c r="C1207" s="12">
        <v>20</v>
      </c>
      <c r="D1207" s="30" t="str">
        <f t="shared" si="18"/>
        <v/>
      </c>
      <c r="E1207" s="13"/>
      <c r="F1207" s="13"/>
      <c r="G1207" s="12"/>
      <c r="H1207" s="14"/>
    </row>
    <row r="1208" spans="1:8" ht="17.399999999999999" x14ac:dyDescent="0.25">
      <c r="A1208" s="34" t="s">
        <v>603</v>
      </c>
      <c r="B1208" s="35"/>
      <c r="C1208" s="9">
        <v>504.84</v>
      </c>
      <c r="D1208" s="29">
        <f t="shared" si="18"/>
        <v>25.241999999999997</v>
      </c>
      <c r="E1208" s="10"/>
      <c r="F1208" s="10"/>
      <c r="G1208" s="9"/>
      <c r="H1208" s="11"/>
    </row>
    <row r="1209" spans="1:8" ht="17.399999999999999" x14ac:dyDescent="0.25">
      <c r="A1209" s="32" t="s">
        <v>4</v>
      </c>
      <c r="B1209" s="33"/>
      <c r="C1209" s="12">
        <v>20</v>
      </c>
      <c r="D1209" s="30" t="str">
        <f t="shared" si="18"/>
        <v/>
      </c>
      <c r="E1209" s="13"/>
      <c r="F1209" s="13"/>
      <c r="G1209" s="12"/>
      <c r="H1209" s="14"/>
    </row>
    <row r="1210" spans="1:8" ht="17.399999999999999" x14ac:dyDescent="0.25">
      <c r="A1210" s="34" t="s">
        <v>604</v>
      </c>
      <c r="B1210" s="35"/>
      <c r="C1210" s="15">
        <v>8177.15</v>
      </c>
      <c r="D1210" s="29">
        <f t="shared" si="18"/>
        <v>26.810327868852458</v>
      </c>
      <c r="E1210" s="10"/>
      <c r="F1210" s="10"/>
      <c r="G1210" s="15"/>
      <c r="H1210" s="11"/>
    </row>
    <row r="1211" spans="1:8" ht="17.399999999999999" x14ac:dyDescent="0.25">
      <c r="A1211" s="32" t="s">
        <v>4</v>
      </c>
      <c r="B1211" s="33"/>
      <c r="C1211" s="12">
        <v>305</v>
      </c>
      <c r="D1211" s="30" t="str">
        <f t="shared" si="18"/>
        <v/>
      </c>
      <c r="E1211" s="13"/>
      <c r="F1211" s="13"/>
      <c r="G1211" s="12"/>
      <c r="H1211" s="14"/>
    </row>
    <row r="1212" spans="1:8" ht="17.399999999999999" x14ac:dyDescent="0.25">
      <c r="A1212" s="34" t="s">
        <v>605</v>
      </c>
      <c r="B1212" s="35"/>
      <c r="C1212" s="9">
        <v>572.99</v>
      </c>
      <c r="D1212" s="29">
        <f t="shared" si="18"/>
        <v>0.7639866666666667</v>
      </c>
      <c r="E1212" s="10"/>
      <c r="F1212" s="10"/>
      <c r="G1212" s="9"/>
      <c r="H1212" s="11"/>
    </row>
    <row r="1213" spans="1:8" ht="17.399999999999999" x14ac:dyDescent="0.25">
      <c r="A1213" s="32" t="s">
        <v>4</v>
      </c>
      <c r="B1213" s="33"/>
      <c r="C1213" s="12">
        <v>750</v>
      </c>
      <c r="D1213" s="30" t="str">
        <f t="shared" si="18"/>
        <v/>
      </c>
      <c r="E1213" s="13"/>
      <c r="F1213" s="13"/>
      <c r="G1213" s="12"/>
      <c r="H1213" s="14"/>
    </row>
    <row r="1214" spans="1:8" ht="17.399999999999999" x14ac:dyDescent="0.25">
      <c r="A1214" s="34" t="s">
        <v>606</v>
      </c>
      <c r="B1214" s="35"/>
      <c r="C1214" s="15">
        <v>3157.8</v>
      </c>
      <c r="D1214" s="29">
        <f t="shared" si="18"/>
        <v>0.26580808080808083</v>
      </c>
      <c r="E1214" s="10"/>
      <c r="F1214" s="10"/>
      <c r="G1214" s="15"/>
      <c r="H1214" s="11"/>
    </row>
    <row r="1215" spans="1:8" ht="17.399999999999999" x14ac:dyDescent="0.25">
      <c r="A1215" s="32" t="s">
        <v>4</v>
      </c>
      <c r="B1215" s="33"/>
      <c r="C1215" s="16">
        <v>11880</v>
      </c>
      <c r="D1215" s="30" t="str">
        <f t="shared" si="18"/>
        <v/>
      </c>
      <c r="E1215" s="13"/>
      <c r="F1215" s="13"/>
      <c r="G1215" s="16"/>
      <c r="H1215" s="14"/>
    </row>
    <row r="1216" spans="1:8" ht="17.399999999999999" x14ac:dyDescent="0.25">
      <c r="A1216" s="34" t="s">
        <v>607</v>
      </c>
      <c r="B1216" s="35"/>
      <c r="C1216" s="9">
        <v>117.61</v>
      </c>
      <c r="D1216" s="29">
        <f t="shared" si="18"/>
        <v>3.9203333333333332</v>
      </c>
      <c r="E1216" s="10"/>
      <c r="F1216" s="10"/>
      <c r="G1216" s="9"/>
      <c r="H1216" s="11"/>
    </row>
    <row r="1217" spans="1:8" ht="17.399999999999999" x14ac:dyDescent="0.25">
      <c r="A1217" s="32" t="s">
        <v>4</v>
      </c>
      <c r="B1217" s="33"/>
      <c r="C1217" s="12">
        <v>30</v>
      </c>
      <c r="D1217" s="30" t="str">
        <f t="shared" si="18"/>
        <v/>
      </c>
      <c r="E1217" s="13"/>
      <c r="F1217" s="13"/>
      <c r="G1217" s="12"/>
      <c r="H1217" s="14"/>
    </row>
    <row r="1218" spans="1:8" ht="17.399999999999999" x14ac:dyDescent="0.25">
      <c r="A1218" s="34" t="s">
        <v>608</v>
      </c>
      <c r="B1218" s="35"/>
      <c r="C1218" s="9">
        <v>976.86</v>
      </c>
      <c r="D1218" s="29">
        <f t="shared" si="18"/>
        <v>3.6179999999999999</v>
      </c>
      <c r="E1218" s="10"/>
      <c r="F1218" s="10"/>
      <c r="G1218" s="9"/>
      <c r="H1218" s="11"/>
    </row>
    <row r="1219" spans="1:8" ht="17.399999999999999" x14ac:dyDescent="0.25">
      <c r="A1219" s="32" t="s">
        <v>4</v>
      </c>
      <c r="B1219" s="33"/>
      <c r="C1219" s="12">
        <v>270</v>
      </c>
      <c r="D1219" s="30" t="str">
        <f t="shared" si="18"/>
        <v/>
      </c>
      <c r="E1219" s="13"/>
      <c r="F1219" s="13"/>
      <c r="G1219" s="12"/>
      <c r="H1219" s="14"/>
    </row>
    <row r="1220" spans="1:8" ht="17.399999999999999" x14ac:dyDescent="0.25">
      <c r="A1220" s="34" t="s">
        <v>609</v>
      </c>
      <c r="B1220" s="35"/>
      <c r="C1220" s="9">
        <v>705.67</v>
      </c>
      <c r="D1220" s="29">
        <f t="shared" si="18"/>
        <v>3.9203888888888887</v>
      </c>
      <c r="E1220" s="10"/>
      <c r="F1220" s="10"/>
      <c r="G1220" s="9"/>
      <c r="H1220" s="11"/>
    </row>
    <row r="1221" spans="1:8" ht="17.399999999999999" x14ac:dyDescent="0.25">
      <c r="A1221" s="32" t="s">
        <v>4</v>
      </c>
      <c r="B1221" s="33"/>
      <c r="C1221" s="12">
        <v>180</v>
      </c>
      <c r="D1221" s="30" t="str">
        <f t="shared" si="18"/>
        <v/>
      </c>
      <c r="E1221" s="13"/>
      <c r="F1221" s="13"/>
      <c r="G1221" s="12"/>
      <c r="H1221" s="14"/>
    </row>
    <row r="1222" spans="1:8" ht="17.399999999999999" x14ac:dyDescent="0.25">
      <c r="A1222" s="34" t="s">
        <v>610</v>
      </c>
      <c r="B1222" s="35"/>
      <c r="C1222" s="9">
        <v>763.83</v>
      </c>
      <c r="D1222" s="29">
        <f t="shared" si="18"/>
        <v>18.630000000000003</v>
      </c>
      <c r="E1222" s="10"/>
      <c r="F1222" s="10"/>
      <c r="G1222" s="9"/>
      <c r="H1222" s="11"/>
    </row>
    <row r="1223" spans="1:8" ht="17.399999999999999" x14ac:dyDescent="0.25">
      <c r="A1223" s="32" t="s">
        <v>4</v>
      </c>
      <c r="B1223" s="33"/>
      <c r="C1223" s="12">
        <v>41</v>
      </c>
      <c r="D1223" s="30" t="str">
        <f t="shared" si="18"/>
        <v/>
      </c>
      <c r="E1223" s="13"/>
      <c r="F1223" s="13"/>
      <c r="G1223" s="12"/>
      <c r="H1223" s="14"/>
    </row>
    <row r="1224" spans="1:8" ht="17.399999999999999" x14ac:dyDescent="0.25">
      <c r="A1224" s="34" t="s">
        <v>611</v>
      </c>
      <c r="B1224" s="35"/>
      <c r="C1224" s="9">
        <v>407.97</v>
      </c>
      <c r="D1224" s="29">
        <f t="shared" si="18"/>
        <v>0.75550000000000006</v>
      </c>
      <c r="E1224" s="10"/>
      <c r="F1224" s="10"/>
      <c r="G1224" s="9"/>
      <c r="H1224" s="11"/>
    </row>
    <row r="1225" spans="1:8" ht="17.399999999999999" x14ac:dyDescent="0.25">
      <c r="A1225" s="32" t="s">
        <v>4</v>
      </c>
      <c r="B1225" s="33"/>
      <c r="C1225" s="12">
        <v>540</v>
      </c>
      <c r="D1225" s="30" t="str">
        <f t="shared" si="18"/>
        <v/>
      </c>
      <c r="E1225" s="13"/>
      <c r="F1225" s="13"/>
      <c r="G1225" s="12"/>
      <c r="H1225" s="14"/>
    </row>
    <row r="1226" spans="1:8" ht="17.399999999999999" x14ac:dyDescent="0.25">
      <c r="A1226" s="34" t="s">
        <v>612</v>
      </c>
      <c r="B1226" s="35"/>
      <c r="C1226" s="15">
        <v>7824.75</v>
      </c>
      <c r="D1226" s="29">
        <f t="shared" ref="D1226:D1289" si="19">IF($A1227="Кол-во",IFERROR($C1226/$C1227,""),"")</f>
        <v>1.0432999999999999</v>
      </c>
      <c r="E1226" s="10"/>
      <c r="F1226" s="10"/>
      <c r="G1226" s="15"/>
      <c r="H1226" s="11"/>
    </row>
    <row r="1227" spans="1:8" ht="17.399999999999999" x14ac:dyDescent="0.25">
      <c r="A1227" s="32" t="s">
        <v>4</v>
      </c>
      <c r="B1227" s="33"/>
      <c r="C1227" s="16">
        <v>7500</v>
      </c>
      <c r="D1227" s="30" t="str">
        <f t="shared" si="19"/>
        <v/>
      </c>
      <c r="E1227" s="13"/>
      <c r="F1227" s="13"/>
      <c r="G1227" s="16"/>
      <c r="H1227" s="14"/>
    </row>
    <row r="1228" spans="1:8" ht="17.399999999999999" x14ac:dyDescent="0.25">
      <c r="A1228" s="34" t="s">
        <v>613</v>
      </c>
      <c r="B1228" s="35"/>
      <c r="C1228" s="15">
        <v>5428.71</v>
      </c>
      <c r="D1228" s="29">
        <f t="shared" si="19"/>
        <v>0.86170000000000002</v>
      </c>
      <c r="E1228" s="10"/>
      <c r="F1228" s="10"/>
      <c r="G1228" s="15"/>
      <c r="H1228" s="11"/>
    </row>
    <row r="1229" spans="1:8" ht="17.399999999999999" x14ac:dyDescent="0.25">
      <c r="A1229" s="32" t="s">
        <v>4</v>
      </c>
      <c r="B1229" s="33"/>
      <c r="C1229" s="16">
        <v>6300</v>
      </c>
      <c r="D1229" s="30" t="str">
        <f t="shared" si="19"/>
        <v/>
      </c>
      <c r="E1229" s="13"/>
      <c r="F1229" s="13"/>
      <c r="G1229" s="16"/>
      <c r="H1229" s="14"/>
    </row>
    <row r="1230" spans="1:8" ht="17.399999999999999" x14ac:dyDescent="0.25">
      <c r="A1230" s="34" t="s">
        <v>614</v>
      </c>
      <c r="B1230" s="35"/>
      <c r="C1230" s="15">
        <v>2906.54</v>
      </c>
      <c r="D1230" s="29">
        <f t="shared" si="19"/>
        <v>0.86170767862437003</v>
      </c>
      <c r="E1230" s="10"/>
      <c r="F1230" s="10"/>
      <c r="G1230" s="15"/>
      <c r="H1230" s="11"/>
    </row>
    <row r="1231" spans="1:8" ht="17.399999999999999" x14ac:dyDescent="0.25">
      <c r="A1231" s="32" t="s">
        <v>4</v>
      </c>
      <c r="B1231" s="33"/>
      <c r="C1231" s="16">
        <v>3373</v>
      </c>
      <c r="D1231" s="30" t="str">
        <f t="shared" si="19"/>
        <v/>
      </c>
      <c r="E1231" s="13"/>
      <c r="F1231" s="13"/>
      <c r="G1231" s="16"/>
      <c r="H1231" s="14"/>
    </row>
    <row r="1232" spans="1:8" ht="17.399999999999999" x14ac:dyDescent="0.25">
      <c r="A1232" s="34" t="s">
        <v>615</v>
      </c>
      <c r="B1232" s="35"/>
      <c r="C1232" s="15">
        <v>2565.34</v>
      </c>
      <c r="D1232" s="29">
        <f t="shared" si="19"/>
        <v>0.28824044943820226</v>
      </c>
      <c r="E1232" s="10"/>
      <c r="F1232" s="10"/>
      <c r="G1232" s="15"/>
      <c r="H1232" s="11"/>
    </row>
    <row r="1233" spans="1:8" ht="17.399999999999999" x14ac:dyDescent="0.25">
      <c r="A1233" s="32" t="s">
        <v>4</v>
      </c>
      <c r="B1233" s="33"/>
      <c r="C1233" s="16">
        <v>8900</v>
      </c>
      <c r="D1233" s="30" t="str">
        <f t="shared" si="19"/>
        <v/>
      </c>
      <c r="E1233" s="13"/>
      <c r="F1233" s="13"/>
      <c r="G1233" s="16"/>
      <c r="H1233" s="14"/>
    </row>
    <row r="1234" spans="1:8" ht="17.399999999999999" x14ac:dyDescent="0.25">
      <c r="A1234" s="34" t="s">
        <v>616</v>
      </c>
      <c r="B1234" s="35"/>
      <c r="C1234" s="15">
        <v>7371.96</v>
      </c>
      <c r="D1234" s="29">
        <f t="shared" si="19"/>
        <v>0.31396763202725725</v>
      </c>
      <c r="E1234" s="10"/>
      <c r="F1234" s="10"/>
      <c r="G1234" s="15"/>
      <c r="H1234" s="11"/>
    </row>
    <row r="1235" spans="1:8" ht="17.399999999999999" x14ac:dyDescent="0.25">
      <c r="A1235" s="32" t="s">
        <v>4</v>
      </c>
      <c r="B1235" s="33"/>
      <c r="C1235" s="16">
        <v>23480</v>
      </c>
      <c r="D1235" s="30" t="str">
        <f t="shared" si="19"/>
        <v/>
      </c>
      <c r="E1235" s="13"/>
      <c r="F1235" s="13"/>
      <c r="G1235" s="16"/>
      <c r="H1235" s="14"/>
    </row>
    <row r="1236" spans="1:8" ht="17.399999999999999" x14ac:dyDescent="0.25">
      <c r="A1236" s="34" t="s">
        <v>617</v>
      </c>
      <c r="B1236" s="35"/>
      <c r="C1236" s="9">
        <v>922.99</v>
      </c>
      <c r="D1236" s="29">
        <f t="shared" si="19"/>
        <v>8.6260747663551403</v>
      </c>
      <c r="E1236" s="10"/>
      <c r="F1236" s="10"/>
      <c r="G1236" s="9"/>
      <c r="H1236" s="11"/>
    </row>
    <row r="1237" spans="1:8" ht="17.399999999999999" x14ac:dyDescent="0.25">
      <c r="A1237" s="32" t="s">
        <v>4</v>
      </c>
      <c r="B1237" s="33"/>
      <c r="C1237" s="12">
        <v>107</v>
      </c>
      <c r="D1237" s="30" t="str">
        <f t="shared" si="19"/>
        <v/>
      </c>
      <c r="E1237" s="13"/>
      <c r="F1237" s="13"/>
      <c r="G1237" s="12"/>
      <c r="H1237" s="14"/>
    </row>
    <row r="1238" spans="1:8" ht="17.399999999999999" x14ac:dyDescent="0.25">
      <c r="A1238" s="34" t="s">
        <v>618</v>
      </c>
      <c r="B1238" s="35"/>
      <c r="C1238" s="15">
        <v>2097.54</v>
      </c>
      <c r="D1238" s="29">
        <f t="shared" si="19"/>
        <v>2.3567865168539326</v>
      </c>
      <c r="E1238" s="10"/>
      <c r="F1238" s="10"/>
      <c r="G1238" s="15"/>
      <c r="H1238" s="11"/>
    </row>
    <row r="1239" spans="1:8" ht="17.399999999999999" x14ac:dyDescent="0.25">
      <c r="A1239" s="32" t="s">
        <v>4</v>
      </c>
      <c r="B1239" s="33"/>
      <c r="C1239" s="12">
        <v>890</v>
      </c>
      <c r="D1239" s="30" t="str">
        <f t="shared" si="19"/>
        <v/>
      </c>
      <c r="E1239" s="13"/>
      <c r="F1239" s="13"/>
      <c r="G1239" s="12"/>
      <c r="H1239" s="14"/>
    </row>
    <row r="1240" spans="1:8" ht="17.399999999999999" x14ac:dyDescent="0.25">
      <c r="A1240" s="34" t="s">
        <v>618</v>
      </c>
      <c r="B1240" s="35"/>
      <c r="C1240" s="9">
        <v>64.260000000000005</v>
      </c>
      <c r="D1240" s="29">
        <f t="shared" si="19"/>
        <v>2.5704000000000002</v>
      </c>
      <c r="E1240" s="10"/>
      <c r="F1240" s="10"/>
      <c r="G1240" s="9"/>
      <c r="H1240" s="11"/>
    </row>
    <row r="1241" spans="1:8" ht="17.399999999999999" x14ac:dyDescent="0.25">
      <c r="A1241" s="32" t="s">
        <v>4</v>
      </c>
      <c r="B1241" s="33"/>
      <c r="C1241" s="12">
        <v>25</v>
      </c>
      <c r="D1241" s="30" t="str">
        <f t="shared" si="19"/>
        <v/>
      </c>
      <c r="E1241" s="13"/>
      <c r="F1241" s="13"/>
      <c r="G1241" s="12"/>
      <c r="H1241" s="14"/>
    </row>
    <row r="1242" spans="1:8" ht="17.399999999999999" x14ac:dyDescent="0.25">
      <c r="A1242" s="34" t="s">
        <v>619</v>
      </c>
      <c r="B1242" s="35"/>
      <c r="C1242" s="9">
        <v>42.25</v>
      </c>
      <c r="D1242" s="29">
        <f t="shared" si="19"/>
        <v>0.52812499999999996</v>
      </c>
      <c r="E1242" s="10"/>
      <c r="F1242" s="10"/>
      <c r="G1242" s="9"/>
      <c r="H1242" s="11"/>
    </row>
    <row r="1243" spans="1:8" ht="17.399999999999999" x14ac:dyDescent="0.25">
      <c r="A1243" s="32" t="s">
        <v>4</v>
      </c>
      <c r="B1243" s="33"/>
      <c r="C1243" s="12">
        <v>80</v>
      </c>
      <c r="D1243" s="30" t="str">
        <f t="shared" si="19"/>
        <v/>
      </c>
      <c r="E1243" s="13"/>
      <c r="F1243" s="13"/>
      <c r="G1243" s="12"/>
      <c r="H1243" s="14"/>
    </row>
    <row r="1244" spans="1:8" ht="17.399999999999999" x14ac:dyDescent="0.25">
      <c r="A1244" s="34" t="s">
        <v>620</v>
      </c>
      <c r="B1244" s="35"/>
      <c r="C1244" s="15">
        <v>3000.13</v>
      </c>
      <c r="D1244" s="29">
        <f t="shared" si="19"/>
        <v>0.49182459016393443</v>
      </c>
      <c r="E1244" s="10"/>
      <c r="F1244" s="10"/>
      <c r="G1244" s="15"/>
      <c r="H1244" s="11"/>
    </row>
    <row r="1245" spans="1:8" ht="17.399999999999999" x14ac:dyDescent="0.25">
      <c r="A1245" s="32" t="s">
        <v>4</v>
      </c>
      <c r="B1245" s="33"/>
      <c r="C1245" s="16">
        <v>6100</v>
      </c>
      <c r="D1245" s="30" t="str">
        <f t="shared" si="19"/>
        <v/>
      </c>
      <c r="E1245" s="13"/>
      <c r="F1245" s="13"/>
      <c r="G1245" s="16"/>
      <c r="H1245" s="14"/>
    </row>
    <row r="1246" spans="1:8" ht="17.399999999999999" x14ac:dyDescent="0.25">
      <c r="A1246" s="34" t="s">
        <v>621</v>
      </c>
      <c r="B1246" s="35"/>
      <c r="C1246" s="9">
        <v>683.2</v>
      </c>
      <c r="D1246" s="29">
        <f t="shared" si="19"/>
        <v>26.276923076923079</v>
      </c>
      <c r="E1246" s="10"/>
      <c r="F1246" s="10"/>
      <c r="G1246" s="9"/>
      <c r="H1246" s="11"/>
    </row>
    <row r="1247" spans="1:8" ht="17.399999999999999" x14ac:dyDescent="0.25">
      <c r="A1247" s="32" t="s">
        <v>4</v>
      </c>
      <c r="B1247" s="33"/>
      <c r="C1247" s="12">
        <v>26</v>
      </c>
      <c r="D1247" s="30" t="str">
        <f t="shared" si="19"/>
        <v/>
      </c>
      <c r="E1247" s="13"/>
      <c r="F1247" s="13"/>
      <c r="G1247" s="12"/>
      <c r="H1247" s="14"/>
    </row>
    <row r="1248" spans="1:8" ht="17.399999999999999" x14ac:dyDescent="0.25">
      <c r="A1248" s="34" t="s">
        <v>622</v>
      </c>
      <c r="B1248" s="35"/>
      <c r="C1248" s="15">
        <v>8514.4500000000007</v>
      </c>
      <c r="D1248" s="29">
        <f t="shared" si="19"/>
        <v>0.87327692307692317</v>
      </c>
      <c r="E1248" s="10"/>
      <c r="F1248" s="10"/>
      <c r="G1248" s="15"/>
      <c r="H1248" s="11"/>
    </row>
    <row r="1249" spans="1:8" ht="17.399999999999999" x14ac:dyDescent="0.25">
      <c r="A1249" s="32" t="s">
        <v>4</v>
      </c>
      <c r="B1249" s="33"/>
      <c r="C1249" s="16">
        <v>9750</v>
      </c>
      <c r="D1249" s="30" t="str">
        <f t="shared" si="19"/>
        <v/>
      </c>
      <c r="E1249" s="13"/>
      <c r="F1249" s="13"/>
      <c r="G1249" s="16"/>
      <c r="H1249" s="14"/>
    </row>
    <row r="1250" spans="1:8" ht="17.399999999999999" x14ac:dyDescent="0.25">
      <c r="A1250" s="34" t="s">
        <v>623</v>
      </c>
      <c r="B1250" s="35"/>
      <c r="C1250" s="15">
        <v>1500</v>
      </c>
      <c r="D1250" s="29">
        <f t="shared" si="19"/>
        <v>6</v>
      </c>
      <c r="E1250" s="10"/>
      <c r="F1250" s="10"/>
      <c r="G1250" s="15"/>
      <c r="H1250" s="11"/>
    </row>
    <row r="1251" spans="1:8" ht="17.399999999999999" x14ac:dyDescent="0.25">
      <c r="A1251" s="32" t="s">
        <v>4</v>
      </c>
      <c r="B1251" s="33"/>
      <c r="C1251" s="12">
        <v>250</v>
      </c>
      <c r="D1251" s="30" t="str">
        <f t="shared" si="19"/>
        <v/>
      </c>
      <c r="E1251" s="13"/>
      <c r="F1251" s="13"/>
      <c r="G1251" s="12"/>
      <c r="H1251" s="14"/>
    </row>
    <row r="1252" spans="1:8" ht="17.399999999999999" x14ac:dyDescent="0.25">
      <c r="A1252" s="34" t="s">
        <v>624</v>
      </c>
      <c r="B1252" s="35"/>
      <c r="C1252" s="9">
        <v>86.31</v>
      </c>
      <c r="D1252" s="29">
        <f t="shared" si="19"/>
        <v>9.59</v>
      </c>
      <c r="E1252" s="10"/>
      <c r="F1252" s="10"/>
      <c r="G1252" s="9"/>
      <c r="H1252" s="11"/>
    </row>
    <row r="1253" spans="1:8" ht="17.399999999999999" x14ac:dyDescent="0.25">
      <c r="A1253" s="32" t="s">
        <v>4</v>
      </c>
      <c r="B1253" s="33"/>
      <c r="C1253" s="12">
        <v>9</v>
      </c>
      <c r="D1253" s="30" t="str">
        <f t="shared" si="19"/>
        <v/>
      </c>
      <c r="E1253" s="13"/>
      <c r="F1253" s="13"/>
      <c r="G1253" s="12"/>
      <c r="H1253" s="14"/>
    </row>
    <row r="1254" spans="1:8" ht="17.399999999999999" x14ac:dyDescent="0.25">
      <c r="A1254" s="34" t="s">
        <v>625</v>
      </c>
      <c r="B1254" s="35"/>
      <c r="C1254" s="15">
        <v>22102.400000000001</v>
      </c>
      <c r="D1254" s="29">
        <f t="shared" si="19"/>
        <v>22102.400000000001</v>
      </c>
      <c r="E1254" s="10"/>
      <c r="F1254" s="10"/>
      <c r="G1254" s="15"/>
      <c r="H1254" s="11"/>
    </row>
    <row r="1255" spans="1:8" ht="17.399999999999999" x14ac:dyDescent="0.25">
      <c r="A1255" s="32" t="s">
        <v>4</v>
      </c>
      <c r="B1255" s="33"/>
      <c r="C1255" s="12">
        <v>1</v>
      </c>
      <c r="D1255" s="30" t="str">
        <f t="shared" si="19"/>
        <v/>
      </c>
      <c r="E1255" s="13"/>
      <c r="F1255" s="13"/>
      <c r="G1255" s="12"/>
      <c r="H1255" s="14"/>
    </row>
    <row r="1256" spans="1:8" ht="17.399999999999999" x14ac:dyDescent="0.25">
      <c r="A1256" s="34" t="s">
        <v>626</v>
      </c>
      <c r="B1256" s="35"/>
      <c r="C1256" s="15">
        <v>1717.18</v>
      </c>
      <c r="D1256" s="29">
        <f t="shared" si="19"/>
        <v>1717.18</v>
      </c>
      <c r="E1256" s="10"/>
      <c r="F1256" s="10"/>
      <c r="G1256" s="15"/>
      <c r="H1256" s="11"/>
    </row>
    <row r="1257" spans="1:8" ht="17.399999999999999" x14ac:dyDescent="0.25">
      <c r="A1257" s="32" t="s">
        <v>4</v>
      </c>
      <c r="B1257" s="33"/>
      <c r="C1257" s="12">
        <v>1</v>
      </c>
      <c r="D1257" s="30" t="str">
        <f t="shared" si="19"/>
        <v/>
      </c>
      <c r="E1257" s="13"/>
      <c r="F1257" s="13"/>
      <c r="G1257" s="12"/>
      <c r="H1257" s="14"/>
    </row>
    <row r="1258" spans="1:8" ht="17.399999999999999" x14ac:dyDescent="0.25">
      <c r="A1258" s="34" t="s">
        <v>627</v>
      </c>
      <c r="B1258" s="35"/>
      <c r="C1258" s="15">
        <v>8141.2</v>
      </c>
      <c r="D1258" s="29">
        <f t="shared" si="19"/>
        <v>1017.65</v>
      </c>
      <c r="E1258" s="10"/>
      <c r="F1258" s="10"/>
      <c r="G1258" s="15"/>
      <c r="H1258" s="11"/>
    </row>
    <row r="1259" spans="1:8" ht="17.399999999999999" x14ac:dyDescent="0.25">
      <c r="A1259" s="32" t="s">
        <v>4</v>
      </c>
      <c r="B1259" s="33"/>
      <c r="C1259" s="12">
        <v>8</v>
      </c>
      <c r="D1259" s="30" t="str">
        <f t="shared" si="19"/>
        <v/>
      </c>
      <c r="E1259" s="13"/>
      <c r="F1259" s="13"/>
      <c r="G1259" s="12"/>
      <c r="H1259" s="14"/>
    </row>
    <row r="1260" spans="1:8" ht="17.399999999999999" x14ac:dyDescent="0.25">
      <c r="A1260" s="34" t="s">
        <v>628</v>
      </c>
      <c r="B1260" s="35"/>
      <c r="C1260" s="9">
        <v>115.19</v>
      </c>
      <c r="D1260" s="29">
        <f t="shared" si="19"/>
        <v>0.25041304347826088</v>
      </c>
      <c r="E1260" s="10"/>
      <c r="F1260" s="10"/>
      <c r="G1260" s="9"/>
      <c r="H1260" s="11"/>
    </row>
    <row r="1261" spans="1:8" ht="17.399999999999999" x14ac:dyDescent="0.25">
      <c r="A1261" s="32" t="s">
        <v>4</v>
      </c>
      <c r="B1261" s="33"/>
      <c r="C1261" s="12">
        <v>460</v>
      </c>
      <c r="D1261" s="30" t="str">
        <f t="shared" si="19"/>
        <v/>
      </c>
      <c r="E1261" s="13"/>
      <c r="F1261" s="13"/>
      <c r="G1261" s="12"/>
      <c r="H1261" s="14"/>
    </row>
    <row r="1262" spans="1:8" ht="17.399999999999999" x14ac:dyDescent="0.25">
      <c r="A1262" s="34" t="s">
        <v>629</v>
      </c>
      <c r="B1262" s="35"/>
      <c r="C1262" s="15">
        <v>1267.1600000000001</v>
      </c>
      <c r="D1262" s="29">
        <f t="shared" si="19"/>
        <v>2.6677052631578948</v>
      </c>
      <c r="E1262" s="10"/>
      <c r="F1262" s="10"/>
      <c r="G1262" s="15"/>
      <c r="H1262" s="11"/>
    </row>
    <row r="1263" spans="1:8" ht="17.399999999999999" x14ac:dyDescent="0.25">
      <c r="A1263" s="32" t="s">
        <v>4</v>
      </c>
      <c r="B1263" s="33"/>
      <c r="C1263" s="12">
        <v>475</v>
      </c>
      <c r="D1263" s="30" t="str">
        <f t="shared" si="19"/>
        <v/>
      </c>
      <c r="E1263" s="13"/>
      <c r="F1263" s="13"/>
      <c r="G1263" s="12"/>
      <c r="H1263" s="14"/>
    </row>
    <row r="1264" spans="1:8" ht="17.399999999999999" x14ac:dyDescent="0.25">
      <c r="A1264" s="34" t="s">
        <v>630</v>
      </c>
      <c r="B1264" s="35"/>
      <c r="C1264" s="15">
        <v>6190.22</v>
      </c>
      <c r="D1264" s="29">
        <f t="shared" si="19"/>
        <v>0.82867737617135206</v>
      </c>
      <c r="E1264" s="10"/>
      <c r="F1264" s="10"/>
      <c r="G1264" s="15"/>
      <c r="H1264" s="11"/>
    </row>
    <row r="1265" spans="1:8" ht="17.399999999999999" x14ac:dyDescent="0.25">
      <c r="A1265" s="32" t="s">
        <v>4</v>
      </c>
      <c r="B1265" s="33"/>
      <c r="C1265" s="16">
        <v>7470</v>
      </c>
      <c r="D1265" s="30" t="str">
        <f t="shared" si="19"/>
        <v/>
      </c>
      <c r="E1265" s="13"/>
      <c r="F1265" s="13"/>
      <c r="G1265" s="16"/>
      <c r="H1265" s="14"/>
    </row>
    <row r="1266" spans="1:8" ht="17.399999999999999" x14ac:dyDescent="0.25">
      <c r="A1266" s="34" t="s">
        <v>631</v>
      </c>
      <c r="B1266" s="35"/>
      <c r="C1266" s="9">
        <v>220.72</v>
      </c>
      <c r="D1266" s="29">
        <f t="shared" si="19"/>
        <v>2.2071999999999998</v>
      </c>
      <c r="E1266" s="10"/>
      <c r="F1266" s="10"/>
      <c r="G1266" s="9"/>
      <c r="H1266" s="11"/>
    </row>
    <row r="1267" spans="1:8" ht="17.399999999999999" x14ac:dyDescent="0.25">
      <c r="A1267" s="32" t="s">
        <v>4</v>
      </c>
      <c r="B1267" s="33"/>
      <c r="C1267" s="12">
        <v>100</v>
      </c>
      <c r="D1267" s="30" t="str">
        <f t="shared" si="19"/>
        <v/>
      </c>
      <c r="E1267" s="13"/>
      <c r="F1267" s="13"/>
      <c r="G1267" s="12"/>
      <c r="H1267" s="14"/>
    </row>
    <row r="1268" spans="1:8" ht="17.399999999999999" x14ac:dyDescent="0.25">
      <c r="A1268" s="34" t="s">
        <v>632</v>
      </c>
      <c r="B1268" s="35"/>
      <c r="C1268" s="15">
        <v>3507.2</v>
      </c>
      <c r="D1268" s="29">
        <f t="shared" si="19"/>
        <v>1.8998916576381364</v>
      </c>
      <c r="E1268" s="10"/>
      <c r="F1268" s="10"/>
      <c r="G1268" s="15"/>
      <c r="H1268" s="11"/>
    </row>
    <row r="1269" spans="1:8" ht="17.399999999999999" x14ac:dyDescent="0.25">
      <c r="A1269" s="32" t="s">
        <v>4</v>
      </c>
      <c r="B1269" s="33"/>
      <c r="C1269" s="16">
        <v>1846</v>
      </c>
      <c r="D1269" s="30" t="str">
        <f t="shared" si="19"/>
        <v/>
      </c>
      <c r="E1269" s="13"/>
      <c r="F1269" s="13"/>
      <c r="G1269" s="16"/>
      <c r="H1269" s="14"/>
    </row>
    <row r="1270" spans="1:8" ht="17.399999999999999" x14ac:dyDescent="0.25">
      <c r="A1270" s="34" t="s">
        <v>633</v>
      </c>
      <c r="B1270" s="35"/>
      <c r="C1270" s="9">
        <v>339.66</v>
      </c>
      <c r="D1270" s="29">
        <f t="shared" si="19"/>
        <v>19.98</v>
      </c>
      <c r="E1270" s="10"/>
      <c r="F1270" s="10"/>
      <c r="G1270" s="9"/>
      <c r="H1270" s="11"/>
    </row>
    <row r="1271" spans="1:8" ht="17.399999999999999" x14ac:dyDescent="0.25">
      <c r="A1271" s="32" t="s">
        <v>4</v>
      </c>
      <c r="B1271" s="33"/>
      <c r="C1271" s="12">
        <v>17</v>
      </c>
      <c r="D1271" s="30" t="str">
        <f t="shared" si="19"/>
        <v/>
      </c>
      <c r="E1271" s="13"/>
      <c r="F1271" s="13"/>
      <c r="G1271" s="12"/>
      <c r="H1271" s="14"/>
    </row>
    <row r="1272" spans="1:8" ht="17.399999999999999" x14ac:dyDescent="0.25">
      <c r="A1272" s="34" t="s">
        <v>634</v>
      </c>
      <c r="B1272" s="35"/>
      <c r="C1272" s="15">
        <v>1521.45</v>
      </c>
      <c r="D1272" s="29">
        <f t="shared" si="19"/>
        <v>2.6459999999999999</v>
      </c>
      <c r="E1272" s="10"/>
      <c r="F1272" s="10"/>
      <c r="G1272" s="15"/>
      <c r="H1272" s="11"/>
    </row>
    <row r="1273" spans="1:8" ht="17.399999999999999" x14ac:dyDescent="0.25">
      <c r="A1273" s="32" t="s">
        <v>4</v>
      </c>
      <c r="B1273" s="33"/>
      <c r="C1273" s="12">
        <v>575</v>
      </c>
      <c r="D1273" s="30" t="str">
        <f t="shared" si="19"/>
        <v/>
      </c>
      <c r="E1273" s="13"/>
      <c r="F1273" s="13"/>
      <c r="G1273" s="12"/>
      <c r="H1273" s="14"/>
    </row>
    <row r="1274" spans="1:8" ht="17.399999999999999" x14ac:dyDescent="0.25">
      <c r="A1274" s="34" t="s">
        <v>635</v>
      </c>
      <c r="B1274" s="35"/>
      <c r="C1274" s="15">
        <v>42150.2</v>
      </c>
      <c r="D1274" s="29">
        <f t="shared" si="19"/>
        <v>1.4410324786324786</v>
      </c>
      <c r="E1274" s="10"/>
      <c r="F1274" s="10"/>
      <c r="G1274" s="15"/>
      <c r="H1274" s="11"/>
    </row>
    <row r="1275" spans="1:8" ht="17.399999999999999" x14ac:dyDescent="0.25">
      <c r="A1275" s="32" t="s">
        <v>4</v>
      </c>
      <c r="B1275" s="33"/>
      <c r="C1275" s="16">
        <v>29250</v>
      </c>
      <c r="D1275" s="30" t="str">
        <f t="shared" si="19"/>
        <v/>
      </c>
      <c r="E1275" s="13"/>
      <c r="F1275" s="13"/>
      <c r="G1275" s="16"/>
      <c r="H1275" s="14"/>
    </row>
    <row r="1276" spans="1:8" ht="17.399999999999999" x14ac:dyDescent="0.25">
      <c r="A1276" s="34" t="s">
        <v>636</v>
      </c>
      <c r="B1276" s="35"/>
      <c r="C1276" s="15">
        <v>3032.64</v>
      </c>
      <c r="D1276" s="29">
        <f t="shared" si="19"/>
        <v>5.0544000000000002</v>
      </c>
      <c r="E1276" s="10"/>
      <c r="F1276" s="10"/>
      <c r="G1276" s="15"/>
      <c r="H1276" s="11"/>
    </row>
    <row r="1277" spans="1:8" ht="17.399999999999999" x14ac:dyDescent="0.25">
      <c r="A1277" s="32" t="s">
        <v>4</v>
      </c>
      <c r="B1277" s="33"/>
      <c r="C1277" s="12">
        <v>600</v>
      </c>
      <c r="D1277" s="30" t="str">
        <f t="shared" si="19"/>
        <v/>
      </c>
      <c r="E1277" s="13"/>
      <c r="F1277" s="13"/>
      <c r="G1277" s="12"/>
      <c r="H1277" s="14"/>
    </row>
    <row r="1278" spans="1:8" ht="17.399999999999999" x14ac:dyDescent="0.25">
      <c r="A1278" s="34" t="s">
        <v>637</v>
      </c>
      <c r="B1278" s="35"/>
      <c r="C1278" s="15">
        <v>1248.6300000000001</v>
      </c>
      <c r="D1278" s="29">
        <f t="shared" si="19"/>
        <v>4.6590671641791053</v>
      </c>
      <c r="E1278" s="10"/>
      <c r="F1278" s="10"/>
      <c r="G1278" s="15"/>
      <c r="H1278" s="11"/>
    </row>
    <row r="1279" spans="1:8" ht="17.399999999999999" x14ac:dyDescent="0.25">
      <c r="A1279" s="32" t="s">
        <v>4</v>
      </c>
      <c r="B1279" s="33"/>
      <c r="C1279" s="12">
        <v>268</v>
      </c>
      <c r="D1279" s="30" t="str">
        <f t="shared" si="19"/>
        <v/>
      </c>
      <c r="E1279" s="13"/>
      <c r="F1279" s="13"/>
      <c r="G1279" s="12"/>
      <c r="H1279" s="14"/>
    </row>
    <row r="1280" spans="1:8" ht="17.399999999999999" x14ac:dyDescent="0.25">
      <c r="A1280" s="34" t="s">
        <v>638</v>
      </c>
      <c r="B1280" s="35"/>
      <c r="C1280" s="15">
        <v>1330.12</v>
      </c>
      <c r="D1280" s="29">
        <f t="shared" si="19"/>
        <v>8.637142857142857</v>
      </c>
      <c r="E1280" s="10"/>
      <c r="F1280" s="10"/>
      <c r="G1280" s="15"/>
      <c r="H1280" s="11"/>
    </row>
    <row r="1281" spans="1:8" ht="17.399999999999999" x14ac:dyDescent="0.25">
      <c r="A1281" s="32" t="s">
        <v>4</v>
      </c>
      <c r="B1281" s="33"/>
      <c r="C1281" s="12">
        <v>154</v>
      </c>
      <c r="D1281" s="30" t="str">
        <f t="shared" si="19"/>
        <v/>
      </c>
      <c r="E1281" s="13"/>
      <c r="F1281" s="13"/>
      <c r="G1281" s="12"/>
      <c r="H1281" s="14"/>
    </row>
    <row r="1282" spans="1:8" ht="17.399999999999999" x14ac:dyDescent="0.25">
      <c r="A1282" s="34" t="s">
        <v>639</v>
      </c>
      <c r="B1282" s="35"/>
      <c r="C1282" s="9">
        <v>113.82</v>
      </c>
      <c r="D1282" s="29">
        <f t="shared" si="19"/>
        <v>0.75879999999999992</v>
      </c>
      <c r="E1282" s="10"/>
      <c r="F1282" s="10"/>
      <c r="G1282" s="9"/>
      <c r="H1282" s="11"/>
    </row>
    <row r="1283" spans="1:8" ht="17.399999999999999" x14ac:dyDescent="0.25">
      <c r="A1283" s="32" t="s">
        <v>4</v>
      </c>
      <c r="B1283" s="33"/>
      <c r="C1283" s="12">
        <v>150</v>
      </c>
      <c r="D1283" s="30" t="str">
        <f t="shared" si="19"/>
        <v/>
      </c>
      <c r="E1283" s="13"/>
      <c r="F1283" s="13"/>
      <c r="G1283" s="12"/>
      <c r="H1283" s="14"/>
    </row>
    <row r="1284" spans="1:8" ht="17.399999999999999" x14ac:dyDescent="0.25">
      <c r="A1284" s="34" t="s">
        <v>640</v>
      </c>
      <c r="B1284" s="35"/>
      <c r="C1284" s="15">
        <v>4800</v>
      </c>
      <c r="D1284" s="29">
        <f t="shared" si="19"/>
        <v>24</v>
      </c>
      <c r="E1284" s="10"/>
      <c r="F1284" s="10"/>
      <c r="G1284" s="15"/>
      <c r="H1284" s="11"/>
    </row>
    <row r="1285" spans="1:8" ht="17.399999999999999" x14ac:dyDescent="0.25">
      <c r="A1285" s="32" t="s">
        <v>4</v>
      </c>
      <c r="B1285" s="33"/>
      <c r="C1285" s="12">
        <v>200</v>
      </c>
      <c r="D1285" s="30" t="str">
        <f t="shared" si="19"/>
        <v/>
      </c>
      <c r="E1285" s="13"/>
      <c r="F1285" s="13"/>
      <c r="G1285" s="12"/>
      <c r="H1285" s="14"/>
    </row>
    <row r="1286" spans="1:8" ht="17.399999999999999" x14ac:dyDescent="0.25">
      <c r="A1286" s="34" t="s">
        <v>641</v>
      </c>
      <c r="B1286" s="35"/>
      <c r="C1286" s="15">
        <v>1019.52</v>
      </c>
      <c r="D1286" s="29">
        <f t="shared" si="19"/>
        <v>1.728</v>
      </c>
      <c r="E1286" s="10"/>
      <c r="F1286" s="10"/>
      <c r="G1286" s="15"/>
      <c r="H1286" s="11"/>
    </row>
    <row r="1287" spans="1:8" ht="17.399999999999999" x14ac:dyDescent="0.25">
      <c r="A1287" s="32" t="s">
        <v>4</v>
      </c>
      <c r="B1287" s="33"/>
      <c r="C1287" s="12">
        <v>590</v>
      </c>
      <c r="D1287" s="30" t="str">
        <f t="shared" si="19"/>
        <v/>
      </c>
      <c r="E1287" s="13"/>
      <c r="F1287" s="13"/>
      <c r="G1287" s="12"/>
      <c r="H1287" s="14"/>
    </row>
    <row r="1288" spans="1:8" ht="17.399999999999999" x14ac:dyDescent="0.25">
      <c r="A1288" s="34" t="s">
        <v>642</v>
      </c>
      <c r="B1288" s="35"/>
      <c r="C1288" s="9">
        <v>182.52</v>
      </c>
      <c r="D1288" s="29">
        <f t="shared" si="19"/>
        <v>2.028</v>
      </c>
      <c r="E1288" s="10"/>
      <c r="F1288" s="10"/>
      <c r="G1288" s="9"/>
      <c r="H1288" s="11"/>
    </row>
    <row r="1289" spans="1:8" ht="17.399999999999999" x14ac:dyDescent="0.25">
      <c r="A1289" s="32" t="s">
        <v>4</v>
      </c>
      <c r="B1289" s="33"/>
      <c r="C1289" s="12">
        <v>90</v>
      </c>
      <c r="D1289" s="30" t="str">
        <f t="shared" si="19"/>
        <v/>
      </c>
      <c r="E1289" s="13"/>
      <c r="F1289" s="13"/>
      <c r="G1289" s="12"/>
      <c r="H1289" s="14"/>
    </row>
    <row r="1290" spans="1:8" ht="17.399999999999999" x14ac:dyDescent="0.25">
      <c r="A1290" s="34" t="s">
        <v>643</v>
      </c>
      <c r="B1290" s="35"/>
      <c r="C1290" s="15">
        <v>5653.7</v>
      </c>
      <c r="D1290" s="29">
        <f t="shared" ref="D1290:D1353" si="20">IF($A1291="Кол-во",IFERROR($C1290/$C1291,""),"")</f>
        <v>1.5363315217391305</v>
      </c>
      <c r="E1290" s="10"/>
      <c r="F1290" s="10"/>
      <c r="G1290" s="15"/>
      <c r="H1290" s="11"/>
    </row>
    <row r="1291" spans="1:8" ht="17.399999999999999" x14ac:dyDescent="0.25">
      <c r="A1291" s="32" t="s">
        <v>4</v>
      </c>
      <c r="B1291" s="33"/>
      <c r="C1291" s="16">
        <v>3680</v>
      </c>
      <c r="D1291" s="30" t="str">
        <f t="shared" si="20"/>
        <v/>
      </c>
      <c r="E1291" s="13"/>
      <c r="F1291" s="13"/>
      <c r="G1291" s="16"/>
      <c r="H1291" s="14"/>
    </row>
    <row r="1292" spans="1:8" ht="17.399999999999999" x14ac:dyDescent="0.25">
      <c r="A1292" s="34" t="s">
        <v>644</v>
      </c>
      <c r="B1292" s="35"/>
      <c r="C1292" s="15">
        <v>2830.44</v>
      </c>
      <c r="D1292" s="29">
        <f t="shared" si="20"/>
        <v>80.869714285714281</v>
      </c>
      <c r="E1292" s="10"/>
      <c r="F1292" s="10"/>
      <c r="G1292" s="15"/>
      <c r="H1292" s="11"/>
    </row>
    <row r="1293" spans="1:8" ht="17.399999999999999" x14ac:dyDescent="0.25">
      <c r="A1293" s="32" t="s">
        <v>4</v>
      </c>
      <c r="B1293" s="33"/>
      <c r="C1293" s="12">
        <v>35</v>
      </c>
      <c r="D1293" s="30" t="str">
        <f t="shared" si="20"/>
        <v/>
      </c>
      <c r="E1293" s="13"/>
      <c r="F1293" s="13"/>
      <c r="G1293" s="12"/>
      <c r="H1293" s="14"/>
    </row>
    <row r="1294" spans="1:8" ht="17.399999999999999" x14ac:dyDescent="0.25">
      <c r="A1294" s="34" t="s">
        <v>645</v>
      </c>
      <c r="B1294" s="35"/>
      <c r="C1294" s="9">
        <v>724.68</v>
      </c>
      <c r="D1294" s="29">
        <f t="shared" si="20"/>
        <v>1.0065</v>
      </c>
      <c r="E1294" s="10"/>
      <c r="F1294" s="10"/>
      <c r="G1294" s="9"/>
      <c r="H1294" s="11"/>
    </row>
    <row r="1295" spans="1:8" ht="17.399999999999999" x14ac:dyDescent="0.25">
      <c r="A1295" s="32" t="s">
        <v>4</v>
      </c>
      <c r="B1295" s="33"/>
      <c r="C1295" s="12">
        <v>720</v>
      </c>
      <c r="D1295" s="30" t="str">
        <f t="shared" si="20"/>
        <v/>
      </c>
      <c r="E1295" s="13"/>
      <c r="F1295" s="13"/>
      <c r="G1295" s="12"/>
      <c r="H1295" s="14"/>
    </row>
    <row r="1296" spans="1:8" ht="17.399999999999999" x14ac:dyDescent="0.25">
      <c r="A1296" s="34" t="s">
        <v>646</v>
      </c>
      <c r="B1296" s="35"/>
      <c r="C1296" s="9">
        <v>21.3</v>
      </c>
      <c r="D1296" s="29">
        <f t="shared" si="20"/>
        <v>0.21299999999999999</v>
      </c>
      <c r="E1296" s="10"/>
      <c r="F1296" s="10"/>
      <c r="G1296" s="9"/>
      <c r="H1296" s="11"/>
    </row>
    <row r="1297" spans="1:8" ht="17.399999999999999" x14ac:dyDescent="0.25">
      <c r="A1297" s="32" t="s">
        <v>4</v>
      </c>
      <c r="B1297" s="33"/>
      <c r="C1297" s="12">
        <v>100</v>
      </c>
      <c r="D1297" s="30" t="str">
        <f t="shared" si="20"/>
        <v/>
      </c>
      <c r="E1297" s="13"/>
      <c r="F1297" s="13"/>
      <c r="G1297" s="12"/>
      <c r="H1297" s="14"/>
    </row>
    <row r="1298" spans="1:8" ht="17.399999999999999" x14ac:dyDescent="0.25">
      <c r="A1298" s="34" t="s">
        <v>647</v>
      </c>
      <c r="B1298" s="35"/>
      <c r="C1298" s="15">
        <v>1049.8</v>
      </c>
      <c r="D1298" s="29">
        <f t="shared" si="20"/>
        <v>0.23277161862527715</v>
      </c>
      <c r="E1298" s="10"/>
      <c r="F1298" s="10"/>
      <c r="G1298" s="15"/>
      <c r="H1298" s="11"/>
    </row>
    <row r="1299" spans="1:8" ht="17.399999999999999" x14ac:dyDescent="0.25">
      <c r="A1299" s="32" t="s">
        <v>4</v>
      </c>
      <c r="B1299" s="33"/>
      <c r="C1299" s="16">
        <v>4510</v>
      </c>
      <c r="D1299" s="30" t="str">
        <f t="shared" si="20"/>
        <v/>
      </c>
      <c r="E1299" s="13"/>
      <c r="F1299" s="13"/>
      <c r="G1299" s="16"/>
      <c r="H1299" s="14"/>
    </row>
    <row r="1300" spans="1:8" ht="17.399999999999999" x14ac:dyDescent="0.25">
      <c r="A1300" s="34" t="s">
        <v>648</v>
      </c>
      <c r="B1300" s="35"/>
      <c r="C1300" s="9">
        <v>159.41999999999999</v>
      </c>
      <c r="D1300" s="29">
        <f t="shared" si="20"/>
        <v>4.4283333333333328</v>
      </c>
      <c r="E1300" s="10"/>
      <c r="F1300" s="10"/>
      <c r="G1300" s="9"/>
      <c r="H1300" s="11"/>
    </row>
    <row r="1301" spans="1:8" ht="17.399999999999999" x14ac:dyDescent="0.25">
      <c r="A1301" s="32" t="s">
        <v>4</v>
      </c>
      <c r="B1301" s="33"/>
      <c r="C1301" s="12">
        <v>36</v>
      </c>
      <c r="D1301" s="30" t="str">
        <f t="shared" si="20"/>
        <v/>
      </c>
      <c r="E1301" s="13"/>
      <c r="F1301" s="13"/>
      <c r="G1301" s="12"/>
      <c r="H1301" s="14"/>
    </row>
    <row r="1302" spans="1:8" ht="17.399999999999999" x14ac:dyDescent="0.25">
      <c r="A1302" s="34" t="s">
        <v>649</v>
      </c>
      <c r="B1302" s="35"/>
      <c r="C1302" s="15">
        <v>6984.9</v>
      </c>
      <c r="D1302" s="29">
        <f t="shared" si="20"/>
        <v>1.2450802139037433</v>
      </c>
      <c r="E1302" s="10"/>
      <c r="F1302" s="10"/>
      <c r="G1302" s="15"/>
      <c r="H1302" s="11"/>
    </row>
    <row r="1303" spans="1:8" ht="17.399999999999999" x14ac:dyDescent="0.25">
      <c r="A1303" s="32" t="s">
        <v>4</v>
      </c>
      <c r="B1303" s="33"/>
      <c r="C1303" s="16">
        <v>5610</v>
      </c>
      <c r="D1303" s="30" t="str">
        <f t="shared" si="20"/>
        <v/>
      </c>
      <c r="E1303" s="13"/>
      <c r="F1303" s="13"/>
      <c r="G1303" s="16"/>
      <c r="H1303" s="14"/>
    </row>
    <row r="1304" spans="1:8" ht="17.399999999999999" x14ac:dyDescent="0.25">
      <c r="A1304" s="34" t="s">
        <v>650</v>
      </c>
      <c r="B1304" s="35"/>
      <c r="C1304" s="15">
        <v>4243.21</v>
      </c>
      <c r="D1304" s="29">
        <f t="shared" si="20"/>
        <v>1.3866699346405229</v>
      </c>
      <c r="E1304" s="10"/>
      <c r="F1304" s="10"/>
      <c r="G1304" s="15"/>
      <c r="H1304" s="11"/>
    </row>
    <row r="1305" spans="1:8" ht="17.399999999999999" x14ac:dyDescent="0.25">
      <c r="A1305" s="32" t="s">
        <v>4</v>
      </c>
      <c r="B1305" s="33"/>
      <c r="C1305" s="16">
        <v>3060</v>
      </c>
      <c r="D1305" s="30" t="str">
        <f t="shared" si="20"/>
        <v/>
      </c>
      <c r="E1305" s="13"/>
      <c r="F1305" s="13"/>
      <c r="G1305" s="16"/>
      <c r="H1305" s="14"/>
    </row>
    <row r="1306" spans="1:8" ht="17.399999999999999" x14ac:dyDescent="0.25">
      <c r="A1306" s="34" t="s">
        <v>651</v>
      </c>
      <c r="B1306" s="35"/>
      <c r="C1306" s="15">
        <v>3842.25</v>
      </c>
      <c r="D1306" s="29">
        <f t="shared" si="20"/>
        <v>1.0915482954545455</v>
      </c>
      <c r="E1306" s="10"/>
      <c r="F1306" s="10"/>
      <c r="G1306" s="15"/>
      <c r="H1306" s="11"/>
    </row>
    <row r="1307" spans="1:8" ht="17.399999999999999" x14ac:dyDescent="0.25">
      <c r="A1307" s="32" t="s">
        <v>4</v>
      </c>
      <c r="B1307" s="33"/>
      <c r="C1307" s="16">
        <v>3520</v>
      </c>
      <c r="D1307" s="30" t="str">
        <f t="shared" si="20"/>
        <v/>
      </c>
      <c r="E1307" s="13"/>
      <c r="F1307" s="13"/>
      <c r="G1307" s="16"/>
      <c r="H1307" s="14"/>
    </row>
    <row r="1308" spans="1:8" ht="17.399999999999999" x14ac:dyDescent="0.25">
      <c r="A1308" s="34" t="s">
        <v>652</v>
      </c>
      <c r="B1308" s="35"/>
      <c r="C1308" s="15">
        <v>4038.41</v>
      </c>
      <c r="D1308" s="29">
        <f t="shared" si="20"/>
        <v>36.712818181818179</v>
      </c>
      <c r="E1308" s="10"/>
      <c r="F1308" s="10"/>
      <c r="G1308" s="15"/>
      <c r="H1308" s="11"/>
    </row>
    <row r="1309" spans="1:8" ht="17.399999999999999" x14ac:dyDescent="0.25">
      <c r="A1309" s="32" t="s">
        <v>4</v>
      </c>
      <c r="B1309" s="33"/>
      <c r="C1309" s="12">
        <v>110</v>
      </c>
      <c r="D1309" s="30" t="str">
        <f t="shared" si="20"/>
        <v/>
      </c>
      <c r="E1309" s="13"/>
      <c r="F1309" s="13"/>
      <c r="G1309" s="12"/>
      <c r="H1309" s="14"/>
    </row>
    <row r="1310" spans="1:8" ht="17.399999999999999" x14ac:dyDescent="0.25">
      <c r="A1310" s="34" t="s">
        <v>653</v>
      </c>
      <c r="B1310" s="35"/>
      <c r="C1310" s="15">
        <v>2052.2600000000002</v>
      </c>
      <c r="D1310" s="29">
        <f t="shared" si="20"/>
        <v>25.653250000000003</v>
      </c>
      <c r="E1310" s="10"/>
      <c r="F1310" s="10"/>
      <c r="G1310" s="15"/>
      <c r="H1310" s="11"/>
    </row>
    <row r="1311" spans="1:8" ht="17.399999999999999" x14ac:dyDescent="0.25">
      <c r="A1311" s="32" t="s">
        <v>4</v>
      </c>
      <c r="B1311" s="33"/>
      <c r="C1311" s="12">
        <v>80</v>
      </c>
      <c r="D1311" s="30" t="str">
        <f t="shared" si="20"/>
        <v/>
      </c>
      <c r="E1311" s="13"/>
      <c r="F1311" s="13"/>
      <c r="G1311" s="12"/>
      <c r="H1311" s="14"/>
    </row>
    <row r="1312" spans="1:8" ht="17.399999999999999" x14ac:dyDescent="0.25">
      <c r="A1312" s="34" t="s">
        <v>654</v>
      </c>
      <c r="B1312" s="35"/>
      <c r="C1312" s="15">
        <v>1052.23</v>
      </c>
      <c r="D1312" s="29">
        <f t="shared" si="20"/>
        <v>2.8907417582417585</v>
      </c>
      <c r="E1312" s="10"/>
      <c r="F1312" s="10"/>
      <c r="G1312" s="15"/>
      <c r="H1312" s="11"/>
    </row>
    <row r="1313" spans="1:8" ht="17.399999999999999" x14ac:dyDescent="0.25">
      <c r="A1313" s="32" t="s">
        <v>4</v>
      </c>
      <c r="B1313" s="33"/>
      <c r="C1313" s="12">
        <v>364</v>
      </c>
      <c r="D1313" s="30" t="str">
        <f t="shared" si="20"/>
        <v/>
      </c>
      <c r="E1313" s="13"/>
      <c r="F1313" s="13"/>
      <c r="G1313" s="12"/>
      <c r="H1313" s="14"/>
    </row>
    <row r="1314" spans="1:8" ht="17.399999999999999" x14ac:dyDescent="0.25">
      <c r="A1314" s="34" t="s">
        <v>655</v>
      </c>
      <c r="B1314" s="35"/>
      <c r="C1314" s="9">
        <v>318.81</v>
      </c>
      <c r="D1314" s="29">
        <f t="shared" si="20"/>
        <v>4.4279166666666665</v>
      </c>
      <c r="E1314" s="10"/>
      <c r="F1314" s="10"/>
      <c r="G1314" s="9"/>
      <c r="H1314" s="11"/>
    </row>
    <row r="1315" spans="1:8" ht="17.399999999999999" x14ac:dyDescent="0.25">
      <c r="A1315" s="32" t="s">
        <v>4</v>
      </c>
      <c r="B1315" s="33"/>
      <c r="C1315" s="12">
        <v>72</v>
      </c>
      <c r="D1315" s="30" t="str">
        <f t="shared" si="20"/>
        <v/>
      </c>
      <c r="E1315" s="13"/>
      <c r="F1315" s="13"/>
      <c r="G1315" s="12"/>
      <c r="H1315" s="14"/>
    </row>
    <row r="1316" spans="1:8" ht="17.399999999999999" x14ac:dyDescent="0.25">
      <c r="A1316" s="34" t="s">
        <v>656</v>
      </c>
      <c r="B1316" s="35"/>
      <c r="C1316" s="9">
        <v>569.69000000000005</v>
      </c>
      <c r="D1316" s="29">
        <f t="shared" si="20"/>
        <v>1.2947500000000001</v>
      </c>
      <c r="E1316" s="10"/>
      <c r="F1316" s="10"/>
      <c r="G1316" s="9"/>
      <c r="H1316" s="11"/>
    </row>
    <row r="1317" spans="1:8" ht="17.399999999999999" x14ac:dyDescent="0.25">
      <c r="A1317" s="32" t="s">
        <v>4</v>
      </c>
      <c r="B1317" s="33"/>
      <c r="C1317" s="12">
        <v>440</v>
      </c>
      <c r="D1317" s="30" t="str">
        <f t="shared" si="20"/>
        <v/>
      </c>
      <c r="E1317" s="13"/>
      <c r="F1317" s="13"/>
      <c r="G1317" s="12"/>
      <c r="H1317" s="14"/>
    </row>
    <row r="1318" spans="1:8" ht="17.399999999999999" x14ac:dyDescent="0.25">
      <c r="A1318" s="34" t="s">
        <v>657</v>
      </c>
      <c r="B1318" s="35"/>
      <c r="C1318" s="9">
        <v>177.93</v>
      </c>
      <c r="D1318" s="29">
        <f t="shared" si="20"/>
        <v>16.175454545454546</v>
      </c>
      <c r="E1318" s="10"/>
      <c r="F1318" s="10"/>
      <c r="G1318" s="9"/>
      <c r="H1318" s="11"/>
    </row>
    <row r="1319" spans="1:8" ht="17.399999999999999" x14ac:dyDescent="0.25">
      <c r="A1319" s="32" t="s">
        <v>4</v>
      </c>
      <c r="B1319" s="33"/>
      <c r="C1319" s="12">
        <v>11</v>
      </c>
      <c r="D1319" s="30" t="str">
        <f t="shared" si="20"/>
        <v/>
      </c>
      <c r="E1319" s="13"/>
      <c r="F1319" s="13"/>
      <c r="G1319" s="12"/>
      <c r="H1319" s="14"/>
    </row>
    <row r="1320" spans="1:8" ht="17.399999999999999" x14ac:dyDescent="0.25">
      <c r="A1320" s="34" t="s">
        <v>658</v>
      </c>
      <c r="B1320" s="35"/>
      <c r="C1320" s="9">
        <v>138.22999999999999</v>
      </c>
      <c r="D1320" s="29">
        <f t="shared" si="20"/>
        <v>1.3822999999999999</v>
      </c>
      <c r="E1320" s="10"/>
      <c r="F1320" s="10"/>
      <c r="G1320" s="9"/>
      <c r="H1320" s="11"/>
    </row>
    <row r="1321" spans="1:8" ht="17.399999999999999" x14ac:dyDescent="0.25">
      <c r="A1321" s="32" t="s">
        <v>4</v>
      </c>
      <c r="B1321" s="33"/>
      <c r="C1321" s="12">
        <v>100</v>
      </c>
      <c r="D1321" s="30" t="str">
        <f t="shared" si="20"/>
        <v/>
      </c>
      <c r="E1321" s="13"/>
      <c r="F1321" s="13"/>
      <c r="G1321" s="12"/>
      <c r="H1321" s="14"/>
    </row>
    <row r="1322" spans="1:8" ht="17.399999999999999" x14ac:dyDescent="0.25">
      <c r="A1322" s="34" t="s">
        <v>659</v>
      </c>
      <c r="B1322" s="35"/>
      <c r="C1322" s="15">
        <v>3265.8</v>
      </c>
      <c r="D1322" s="29">
        <f t="shared" si="20"/>
        <v>108.86</v>
      </c>
      <c r="E1322" s="10"/>
      <c r="F1322" s="10"/>
      <c r="G1322" s="15"/>
      <c r="H1322" s="11"/>
    </row>
    <row r="1323" spans="1:8" ht="17.399999999999999" x14ac:dyDescent="0.25">
      <c r="A1323" s="32" t="s">
        <v>4</v>
      </c>
      <c r="B1323" s="33"/>
      <c r="C1323" s="12">
        <v>30</v>
      </c>
      <c r="D1323" s="30" t="str">
        <f t="shared" si="20"/>
        <v/>
      </c>
      <c r="E1323" s="13"/>
      <c r="F1323" s="13"/>
      <c r="G1323" s="12"/>
      <c r="H1323" s="14"/>
    </row>
    <row r="1324" spans="1:8" ht="17.399999999999999" x14ac:dyDescent="0.25">
      <c r="A1324" s="34" t="s">
        <v>660</v>
      </c>
      <c r="B1324" s="35"/>
      <c r="C1324" s="15">
        <v>12750.57</v>
      </c>
      <c r="D1324" s="29">
        <f t="shared" si="20"/>
        <v>1.435875</v>
      </c>
      <c r="E1324" s="10"/>
      <c r="F1324" s="10"/>
      <c r="G1324" s="15"/>
      <c r="H1324" s="11"/>
    </row>
    <row r="1325" spans="1:8" ht="17.399999999999999" x14ac:dyDescent="0.25">
      <c r="A1325" s="32" t="s">
        <v>4</v>
      </c>
      <c r="B1325" s="33"/>
      <c r="C1325" s="16">
        <v>8880</v>
      </c>
      <c r="D1325" s="30" t="str">
        <f t="shared" si="20"/>
        <v/>
      </c>
      <c r="E1325" s="13"/>
      <c r="F1325" s="13"/>
      <c r="G1325" s="16"/>
      <c r="H1325" s="14"/>
    </row>
    <row r="1326" spans="1:8" ht="17.399999999999999" x14ac:dyDescent="0.25">
      <c r="A1326" s="34" t="s">
        <v>661</v>
      </c>
      <c r="B1326" s="35"/>
      <c r="C1326" s="9">
        <v>569.52</v>
      </c>
      <c r="D1326" s="29">
        <f t="shared" si="20"/>
        <v>9.4919999999999991</v>
      </c>
      <c r="E1326" s="10"/>
      <c r="F1326" s="10"/>
      <c r="G1326" s="9"/>
      <c r="H1326" s="11"/>
    </row>
    <row r="1327" spans="1:8" ht="17.399999999999999" x14ac:dyDescent="0.25">
      <c r="A1327" s="32" t="s">
        <v>4</v>
      </c>
      <c r="B1327" s="33"/>
      <c r="C1327" s="12">
        <v>60</v>
      </c>
      <c r="D1327" s="30" t="str">
        <f t="shared" si="20"/>
        <v/>
      </c>
      <c r="E1327" s="13"/>
      <c r="F1327" s="13"/>
      <c r="G1327" s="12"/>
      <c r="H1327" s="14"/>
    </row>
    <row r="1328" spans="1:8" ht="17.399999999999999" x14ac:dyDescent="0.25">
      <c r="A1328" s="34" t="s">
        <v>662</v>
      </c>
      <c r="B1328" s="35"/>
      <c r="C1328" s="15">
        <v>12153.83</v>
      </c>
      <c r="D1328" s="29">
        <f t="shared" si="20"/>
        <v>18.005674074074076</v>
      </c>
      <c r="E1328" s="10"/>
      <c r="F1328" s="10"/>
      <c r="G1328" s="15"/>
      <c r="H1328" s="11"/>
    </row>
    <row r="1329" spans="1:8" ht="17.399999999999999" x14ac:dyDescent="0.25">
      <c r="A1329" s="32" t="s">
        <v>4</v>
      </c>
      <c r="B1329" s="33"/>
      <c r="C1329" s="12">
        <v>675</v>
      </c>
      <c r="D1329" s="30" t="str">
        <f t="shared" si="20"/>
        <v/>
      </c>
      <c r="E1329" s="13"/>
      <c r="F1329" s="13"/>
      <c r="G1329" s="12"/>
      <c r="H1329" s="14"/>
    </row>
    <row r="1330" spans="1:8" ht="17.399999999999999" x14ac:dyDescent="0.25">
      <c r="A1330" s="34" t="s">
        <v>663</v>
      </c>
      <c r="B1330" s="35"/>
      <c r="C1330" s="15">
        <v>9070.32</v>
      </c>
      <c r="D1330" s="29">
        <f t="shared" si="20"/>
        <v>31.276965517241379</v>
      </c>
      <c r="E1330" s="10"/>
      <c r="F1330" s="10"/>
      <c r="G1330" s="15"/>
      <c r="H1330" s="11"/>
    </row>
    <row r="1331" spans="1:8" ht="17.399999999999999" x14ac:dyDescent="0.25">
      <c r="A1331" s="32" t="s">
        <v>4</v>
      </c>
      <c r="B1331" s="33"/>
      <c r="C1331" s="12">
        <v>290</v>
      </c>
      <c r="D1331" s="30" t="str">
        <f t="shared" si="20"/>
        <v/>
      </c>
      <c r="E1331" s="13"/>
      <c r="F1331" s="13"/>
      <c r="G1331" s="12"/>
      <c r="H1331" s="14"/>
    </row>
    <row r="1332" spans="1:8" ht="17.399999999999999" x14ac:dyDescent="0.25">
      <c r="A1332" s="34" t="s">
        <v>664</v>
      </c>
      <c r="B1332" s="35"/>
      <c r="C1332" s="9">
        <v>37.58</v>
      </c>
      <c r="D1332" s="29">
        <f t="shared" si="20"/>
        <v>1.2526666666666666</v>
      </c>
      <c r="E1332" s="10"/>
      <c r="F1332" s="10"/>
      <c r="G1332" s="9"/>
      <c r="H1332" s="11"/>
    </row>
    <row r="1333" spans="1:8" ht="17.399999999999999" x14ac:dyDescent="0.25">
      <c r="A1333" s="32" t="s">
        <v>4</v>
      </c>
      <c r="B1333" s="33"/>
      <c r="C1333" s="12">
        <v>30</v>
      </c>
      <c r="D1333" s="30" t="str">
        <f t="shared" si="20"/>
        <v/>
      </c>
      <c r="E1333" s="13"/>
      <c r="F1333" s="13"/>
      <c r="G1333" s="12"/>
      <c r="H1333" s="14"/>
    </row>
    <row r="1334" spans="1:8" ht="17.399999999999999" x14ac:dyDescent="0.25">
      <c r="A1334" s="34" t="s">
        <v>665</v>
      </c>
      <c r="B1334" s="35"/>
      <c r="C1334" s="15">
        <v>4942.62</v>
      </c>
      <c r="D1334" s="29">
        <f t="shared" si="20"/>
        <v>6.8647499999999999</v>
      </c>
      <c r="E1334" s="10"/>
      <c r="F1334" s="10"/>
      <c r="G1334" s="15"/>
      <c r="H1334" s="11"/>
    </row>
    <row r="1335" spans="1:8" ht="17.399999999999999" x14ac:dyDescent="0.25">
      <c r="A1335" s="32" t="s">
        <v>4</v>
      </c>
      <c r="B1335" s="33"/>
      <c r="C1335" s="12">
        <v>720</v>
      </c>
      <c r="D1335" s="30" t="str">
        <f t="shared" si="20"/>
        <v/>
      </c>
      <c r="E1335" s="13"/>
      <c r="F1335" s="13"/>
      <c r="G1335" s="12"/>
      <c r="H1335" s="14"/>
    </row>
    <row r="1336" spans="1:8" ht="17.399999999999999" x14ac:dyDescent="0.25">
      <c r="A1336" s="34" t="s">
        <v>666</v>
      </c>
      <c r="B1336" s="35"/>
      <c r="C1336" s="9">
        <v>168.41</v>
      </c>
      <c r="D1336" s="29">
        <f t="shared" si="20"/>
        <v>1.8712222222222221</v>
      </c>
      <c r="E1336" s="10"/>
      <c r="F1336" s="10"/>
      <c r="G1336" s="9"/>
      <c r="H1336" s="11"/>
    </row>
    <row r="1337" spans="1:8" ht="17.399999999999999" x14ac:dyDescent="0.25">
      <c r="A1337" s="32" t="s">
        <v>4</v>
      </c>
      <c r="B1337" s="33"/>
      <c r="C1337" s="12">
        <v>90</v>
      </c>
      <c r="D1337" s="30" t="str">
        <f t="shared" si="20"/>
        <v/>
      </c>
      <c r="E1337" s="13"/>
      <c r="F1337" s="13"/>
      <c r="G1337" s="12"/>
      <c r="H1337" s="14"/>
    </row>
    <row r="1338" spans="1:8" ht="17.399999999999999" x14ac:dyDescent="0.25">
      <c r="A1338" s="34" t="s">
        <v>667</v>
      </c>
      <c r="B1338" s="35"/>
      <c r="C1338" s="9">
        <v>17.87</v>
      </c>
      <c r="D1338" s="29">
        <f t="shared" si="20"/>
        <v>8.9350000000000005</v>
      </c>
      <c r="E1338" s="10"/>
      <c r="F1338" s="10"/>
      <c r="G1338" s="9"/>
      <c r="H1338" s="11"/>
    </row>
    <row r="1339" spans="1:8" ht="17.399999999999999" x14ac:dyDescent="0.25">
      <c r="A1339" s="32" t="s">
        <v>4</v>
      </c>
      <c r="B1339" s="33"/>
      <c r="C1339" s="12">
        <v>2</v>
      </c>
      <c r="D1339" s="30" t="str">
        <f t="shared" si="20"/>
        <v/>
      </c>
      <c r="E1339" s="13"/>
      <c r="F1339" s="13"/>
      <c r="G1339" s="12"/>
      <c r="H1339" s="14"/>
    </row>
    <row r="1340" spans="1:8" ht="17.399999999999999" x14ac:dyDescent="0.25">
      <c r="A1340" s="34" t="s">
        <v>668</v>
      </c>
      <c r="B1340" s="35"/>
      <c r="C1340" s="9">
        <v>650</v>
      </c>
      <c r="D1340" s="29">
        <f t="shared" si="20"/>
        <v>50</v>
      </c>
      <c r="E1340" s="10"/>
      <c r="F1340" s="10"/>
      <c r="G1340" s="9"/>
      <c r="H1340" s="11"/>
    </row>
    <row r="1341" spans="1:8" ht="17.399999999999999" x14ac:dyDescent="0.25">
      <c r="A1341" s="32" t="s">
        <v>4</v>
      </c>
      <c r="B1341" s="33"/>
      <c r="C1341" s="12">
        <v>13</v>
      </c>
      <c r="D1341" s="30" t="str">
        <f t="shared" si="20"/>
        <v/>
      </c>
      <c r="E1341" s="13"/>
      <c r="F1341" s="13"/>
      <c r="G1341" s="12"/>
      <c r="H1341" s="14"/>
    </row>
    <row r="1342" spans="1:8" ht="17.399999999999999" x14ac:dyDescent="0.25">
      <c r="A1342" s="34" t="s">
        <v>669</v>
      </c>
      <c r="B1342" s="35"/>
      <c r="C1342" s="9">
        <v>536.55999999999995</v>
      </c>
      <c r="D1342" s="29">
        <f t="shared" si="20"/>
        <v>5.3655999999999997</v>
      </c>
      <c r="E1342" s="10"/>
      <c r="F1342" s="10"/>
      <c r="G1342" s="9"/>
      <c r="H1342" s="11"/>
    </row>
    <row r="1343" spans="1:8" ht="17.399999999999999" x14ac:dyDescent="0.25">
      <c r="A1343" s="32" t="s">
        <v>4</v>
      </c>
      <c r="B1343" s="33"/>
      <c r="C1343" s="12">
        <v>100</v>
      </c>
      <c r="D1343" s="30" t="str">
        <f t="shared" si="20"/>
        <v/>
      </c>
      <c r="E1343" s="13"/>
      <c r="F1343" s="13"/>
      <c r="G1343" s="12"/>
      <c r="H1343" s="14"/>
    </row>
    <row r="1344" spans="1:8" ht="17.399999999999999" x14ac:dyDescent="0.25">
      <c r="A1344" s="34" t="s">
        <v>670</v>
      </c>
      <c r="B1344" s="35"/>
      <c r="C1344" s="15">
        <v>1341.4</v>
      </c>
      <c r="D1344" s="29">
        <f t="shared" si="20"/>
        <v>5.3656000000000006</v>
      </c>
      <c r="E1344" s="10"/>
      <c r="F1344" s="10"/>
      <c r="G1344" s="15"/>
      <c r="H1344" s="11"/>
    </row>
    <row r="1345" spans="1:8" ht="17.399999999999999" x14ac:dyDescent="0.25">
      <c r="A1345" s="32" t="s">
        <v>4</v>
      </c>
      <c r="B1345" s="33"/>
      <c r="C1345" s="12">
        <v>250</v>
      </c>
      <c r="D1345" s="30" t="str">
        <f t="shared" si="20"/>
        <v/>
      </c>
      <c r="E1345" s="13"/>
      <c r="F1345" s="13"/>
      <c r="G1345" s="12"/>
      <c r="H1345" s="14"/>
    </row>
    <row r="1346" spans="1:8" ht="17.399999999999999" x14ac:dyDescent="0.25">
      <c r="A1346" s="34" t="s">
        <v>671</v>
      </c>
      <c r="B1346" s="35"/>
      <c r="C1346" s="9">
        <v>47.97</v>
      </c>
      <c r="D1346" s="29">
        <f t="shared" si="20"/>
        <v>23.984999999999999</v>
      </c>
      <c r="E1346" s="10"/>
      <c r="F1346" s="10"/>
      <c r="G1346" s="9"/>
      <c r="H1346" s="11"/>
    </row>
    <row r="1347" spans="1:8" ht="17.399999999999999" x14ac:dyDescent="0.25">
      <c r="A1347" s="32" t="s">
        <v>4</v>
      </c>
      <c r="B1347" s="33"/>
      <c r="C1347" s="12">
        <v>2</v>
      </c>
      <c r="D1347" s="30" t="str">
        <f t="shared" si="20"/>
        <v/>
      </c>
      <c r="E1347" s="13"/>
      <c r="F1347" s="13"/>
      <c r="G1347" s="12"/>
      <c r="H1347" s="14"/>
    </row>
    <row r="1348" spans="1:8" ht="17.399999999999999" x14ac:dyDescent="0.25">
      <c r="A1348" s="34" t="s">
        <v>672</v>
      </c>
      <c r="B1348" s="35"/>
      <c r="C1348" s="15">
        <v>1034.78</v>
      </c>
      <c r="D1348" s="29">
        <f t="shared" si="20"/>
        <v>18.154035087719297</v>
      </c>
      <c r="E1348" s="10"/>
      <c r="F1348" s="10"/>
      <c r="G1348" s="15"/>
      <c r="H1348" s="11"/>
    </row>
    <row r="1349" spans="1:8" ht="17.399999999999999" x14ac:dyDescent="0.25">
      <c r="A1349" s="32" t="s">
        <v>4</v>
      </c>
      <c r="B1349" s="33"/>
      <c r="C1349" s="12">
        <v>57</v>
      </c>
      <c r="D1349" s="30" t="str">
        <f t="shared" si="20"/>
        <v/>
      </c>
      <c r="E1349" s="13"/>
      <c r="F1349" s="13"/>
      <c r="G1349" s="12"/>
      <c r="H1349" s="14"/>
    </row>
    <row r="1350" spans="1:8" ht="17.399999999999999" x14ac:dyDescent="0.25">
      <c r="A1350" s="34" t="s">
        <v>673</v>
      </c>
      <c r="B1350" s="35"/>
      <c r="C1350" s="15">
        <v>1823.56</v>
      </c>
      <c r="D1350" s="29">
        <f t="shared" si="20"/>
        <v>3.315563636363636</v>
      </c>
      <c r="E1350" s="10"/>
      <c r="F1350" s="10"/>
      <c r="G1350" s="15"/>
      <c r="H1350" s="11"/>
    </row>
    <row r="1351" spans="1:8" ht="17.399999999999999" x14ac:dyDescent="0.25">
      <c r="A1351" s="32" t="s">
        <v>4</v>
      </c>
      <c r="B1351" s="33"/>
      <c r="C1351" s="12">
        <v>550</v>
      </c>
      <c r="D1351" s="30" t="str">
        <f t="shared" si="20"/>
        <v/>
      </c>
      <c r="E1351" s="13"/>
      <c r="F1351" s="13"/>
      <c r="G1351" s="12"/>
      <c r="H1351" s="14"/>
    </row>
    <row r="1352" spans="1:8" ht="17.399999999999999" x14ac:dyDescent="0.25">
      <c r="A1352" s="34" t="s">
        <v>674</v>
      </c>
      <c r="B1352" s="35"/>
      <c r="C1352" s="15">
        <v>258100</v>
      </c>
      <c r="D1352" s="29">
        <f t="shared" si="20"/>
        <v>9926.9230769230762</v>
      </c>
      <c r="E1352" s="10"/>
      <c r="F1352" s="10"/>
      <c r="G1352" s="15"/>
      <c r="H1352" s="11"/>
    </row>
    <row r="1353" spans="1:8" ht="17.399999999999999" x14ac:dyDescent="0.25">
      <c r="A1353" s="32" t="s">
        <v>4</v>
      </c>
      <c r="B1353" s="33"/>
      <c r="C1353" s="12">
        <v>26</v>
      </c>
      <c r="D1353" s="30" t="str">
        <f t="shared" si="20"/>
        <v/>
      </c>
      <c r="E1353" s="13"/>
      <c r="F1353" s="13"/>
      <c r="G1353" s="12"/>
      <c r="H1353" s="14"/>
    </row>
    <row r="1354" spans="1:8" ht="17.399999999999999" x14ac:dyDescent="0.25">
      <c r="A1354" s="34" t="s">
        <v>675</v>
      </c>
      <c r="B1354" s="35"/>
      <c r="C1354" s="15">
        <v>23100</v>
      </c>
      <c r="D1354" s="29">
        <f t="shared" ref="D1354:D1417" si="21">IF($A1355="Кол-во",IFERROR($C1354/$C1355,""),"")</f>
        <v>3300</v>
      </c>
      <c r="E1354" s="10"/>
      <c r="F1354" s="10"/>
      <c r="G1354" s="15"/>
      <c r="H1354" s="11"/>
    </row>
    <row r="1355" spans="1:8" ht="17.399999999999999" x14ac:dyDescent="0.25">
      <c r="A1355" s="32" t="s">
        <v>4</v>
      </c>
      <c r="B1355" s="33"/>
      <c r="C1355" s="12">
        <v>7</v>
      </c>
      <c r="D1355" s="30" t="str">
        <f t="shared" si="21"/>
        <v/>
      </c>
      <c r="E1355" s="13"/>
      <c r="F1355" s="13"/>
      <c r="G1355" s="12"/>
      <c r="H1355" s="14"/>
    </row>
    <row r="1356" spans="1:8" ht="17.399999999999999" x14ac:dyDescent="0.25">
      <c r="A1356" s="34" t="s">
        <v>676</v>
      </c>
      <c r="B1356" s="35"/>
      <c r="C1356" s="15">
        <v>1900</v>
      </c>
      <c r="D1356" s="29">
        <f t="shared" si="21"/>
        <v>190</v>
      </c>
      <c r="E1356" s="10"/>
      <c r="F1356" s="10"/>
      <c r="G1356" s="15"/>
      <c r="H1356" s="11"/>
    </row>
    <row r="1357" spans="1:8" ht="17.399999999999999" x14ac:dyDescent="0.25">
      <c r="A1357" s="32" t="s">
        <v>4</v>
      </c>
      <c r="B1357" s="33"/>
      <c r="C1357" s="12">
        <v>10</v>
      </c>
      <c r="D1357" s="30" t="str">
        <f t="shared" si="21"/>
        <v/>
      </c>
      <c r="E1357" s="13"/>
      <c r="F1357" s="13"/>
      <c r="G1357" s="12"/>
      <c r="H1357" s="14"/>
    </row>
    <row r="1358" spans="1:8" ht="17.399999999999999" x14ac:dyDescent="0.25">
      <c r="A1358" s="34" t="s">
        <v>677</v>
      </c>
      <c r="B1358" s="35"/>
      <c r="C1358" s="9">
        <v>202.89</v>
      </c>
      <c r="D1358" s="29">
        <f t="shared" si="21"/>
        <v>15.606923076923076</v>
      </c>
      <c r="E1358" s="10"/>
      <c r="F1358" s="10"/>
      <c r="G1358" s="9"/>
      <c r="H1358" s="11"/>
    </row>
    <row r="1359" spans="1:8" ht="17.399999999999999" x14ac:dyDescent="0.25">
      <c r="A1359" s="32" t="s">
        <v>4</v>
      </c>
      <c r="B1359" s="33"/>
      <c r="C1359" s="12">
        <v>13</v>
      </c>
      <c r="D1359" s="30" t="str">
        <f t="shared" si="21"/>
        <v/>
      </c>
      <c r="E1359" s="13"/>
      <c r="F1359" s="13"/>
      <c r="G1359" s="12"/>
      <c r="H1359" s="14"/>
    </row>
    <row r="1360" spans="1:8" ht="17.399999999999999" x14ac:dyDescent="0.25">
      <c r="A1360" s="34" t="s">
        <v>678</v>
      </c>
      <c r="B1360" s="35"/>
      <c r="C1360" s="15">
        <v>2866</v>
      </c>
      <c r="D1360" s="29">
        <f t="shared" si="21"/>
        <v>5.7320000000000002</v>
      </c>
      <c r="E1360" s="10"/>
      <c r="F1360" s="10"/>
      <c r="G1360" s="15"/>
      <c r="H1360" s="11"/>
    </row>
    <row r="1361" spans="1:8" ht="17.399999999999999" x14ac:dyDescent="0.25">
      <c r="A1361" s="32" t="s">
        <v>4</v>
      </c>
      <c r="B1361" s="33"/>
      <c r="C1361" s="12">
        <v>500</v>
      </c>
      <c r="D1361" s="30" t="str">
        <f t="shared" si="21"/>
        <v/>
      </c>
      <c r="E1361" s="13"/>
      <c r="F1361" s="13"/>
      <c r="G1361" s="12"/>
      <c r="H1361" s="14"/>
    </row>
    <row r="1362" spans="1:8" ht="17.399999999999999" x14ac:dyDescent="0.25">
      <c r="A1362" s="34" t="s">
        <v>679</v>
      </c>
      <c r="B1362" s="35"/>
      <c r="C1362" s="9">
        <v>276.64</v>
      </c>
      <c r="D1362" s="29">
        <f t="shared" si="21"/>
        <v>1.3832</v>
      </c>
      <c r="E1362" s="10"/>
      <c r="F1362" s="10"/>
      <c r="G1362" s="9"/>
      <c r="H1362" s="11"/>
    </row>
    <row r="1363" spans="1:8" ht="17.399999999999999" x14ac:dyDescent="0.25">
      <c r="A1363" s="32" t="s">
        <v>4</v>
      </c>
      <c r="B1363" s="33"/>
      <c r="C1363" s="12">
        <v>200</v>
      </c>
      <c r="D1363" s="30" t="str">
        <f t="shared" si="21"/>
        <v/>
      </c>
      <c r="E1363" s="13"/>
      <c r="F1363" s="13"/>
      <c r="G1363" s="12"/>
      <c r="H1363" s="14"/>
    </row>
    <row r="1364" spans="1:8" ht="17.399999999999999" x14ac:dyDescent="0.25">
      <c r="A1364" s="34" t="s">
        <v>680</v>
      </c>
      <c r="B1364" s="35"/>
      <c r="C1364" s="9">
        <v>213.52</v>
      </c>
      <c r="D1364" s="29">
        <f t="shared" si="21"/>
        <v>2.1352000000000002</v>
      </c>
      <c r="E1364" s="10"/>
      <c r="F1364" s="10"/>
      <c r="G1364" s="9"/>
      <c r="H1364" s="11"/>
    </row>
    <row r="1365" spans="1:8" ht="17.399999999999999" x14ac:dyDescent="0.25">
      <c r="A1365" s="32" t="s">
        <v>4</v>
      </c>
      <c r="B1365" s="33"/>
      <c r="C1365" s="12">
        <v>100</v>
      </c>
      <c r="D1365" s="30" t="str">
        <f t="shared" si="21"/>
        <v/>
      </c>
      <c r="E1365" s="13"/>
      <c r="F1365" s="13"/>
      <c r="G1365" s="12"/>
      <c r="H1365" s="14"/>
    </row>
    <row r="1366" spans="1:8" ht="17.399999999999999" x14ac:dyDescent="0.25">
      <c r="A1366" s="34" t="s">
        <v>681</v>
      </c>
      <c r="B1366" s="35"/>
      <c r="C1366" s="9">
        <v>349.92</v>
      </c>
      <c r="D1366" s="29">
        <f t="shared" si="21"/>
        <v>9.7200000000000006</v>
      </c>
      <c r="E1366" s="10"/>
      <c r="F1366" s="10"/>
      <c r="G1366" s="9"/>
      <c r="H1366" s="11"/>
    </row>
    <row r="1367" spans="1:8" ht="17.399999999999999" x14ac:dyDescent="0.25">
      <c r="A1367" s="32" t="s">
        <v>4</v>
      </c>
      <c r="B1367" s="33"/>
      <c r="C1367" s="12">
        <v>36</v>
      </c>
      <c r="D1367" s="30" t="str">
        <f t="shared" si="21"/>
        <v/>
      </c>
      <c r="E1367" s="13"/>
      <c r="F1367" s="13"/>
      <c r="G1367" s="12"/>
      <c r="H1367" s="14"/>
    </row>
    <row r="1368" spans="1:8" ht="17.399999999999999" x14ac:dyDescent="0.25">
      <c r="A1368" s="34" t="s">
        <v>682</v>
      </c>
      <c r="B1368" s="35"/>
      <c r="C1368" s="15">
        <v>3060</v>
      </c>
      <c r="D1368" s="29">
        <f t="shared" si="21"/>
        <v>61.2</v>
      </c>
      <c r="E1368" s="10"/>
      <c r="F1368" s="10"/>
      <c r="G1368" s="15"/>
      <c r="H1368" s="11"/>
    </row>
    <row r="1369" spans="1:8" ht="17.399999999999999" x14ac:dyDescent="0.25">
      <c r="A1369" s="32" t="s">
        <v>4</v>
      </c>
      <c r="B1369" s="33"/>
      <c r="C1369" s="12">
        <v>50</v>
      </c>
      <c r="D1369" s="30" t="str">
        <f t="shared" si="21"/>
        <v/>
      </c>
      <c r="E1369" s="13"/>
      <c r="F1369" s="13"/>
      <c r="G1369" s="12"/>
      <c r="H1369" s="14"/>
    </row>
    <row r="1370" spans="1:8" ht="17.399999999999999" x14ac:dyDescent="0.25">
      <c r="A1370" s="34" t="s">
        <v>683</v>
      </c>
      <c r="B1370" s="35"/>
      <c r="C1370" s="15">
        <v>2637.36</v>
      </c>
      <c r="D1370" s="29">
        <f t="shared" si="21"/>
        <v>21.978000000000002</v>
      </c>
      <c r="E1370" s="10"/>
      <c r="F1370" s="10"/>
      <c r="G1370" s="15"/>
      <c r="H1370" s="11"/>
    </row>
    <row r="1371" spans="1:8" ht="17.399999999999999" x14ac:dyDescent="0.25">
      <c r="A1371" s="32" t="s">
        <v>4</v>
      </c>
      <c r="B1371" s="33"/>
      <c r="C1371" s="12">
        <v>120</v>
      </c>
      <c r="D1371" s="30" t="str">
        <f t="shared" si="21"/>
        <v/>
      </c>
      <c r="E1371" s="13"/>
      <c r="F1371" s="13"/>
      <c r="G1371" s="12"/>
      <c r="H1371" s="14"/>
    </row>
    <row r="1372" spans="1:8" ht="17.399999999999999" x14ac:dyDescent="0.25">
      <c r="A1372" s="34" t="s">
        <v>684</v>
      </c>
      <c r="B1372" s="35"/>
      <c r="C1372" s="15">
        <v>6987.5</v>
      </c>
      <c r="D1372" s="29">
        <f t="shared" si="21"/>
        <v>69.875</v>
      </c>
      <c r="E1372" s="10"/>
      <c r="F1372" s="10"/>
      <c r="G1372" s="15"/>
      <c r="H1372" s="11"/>
    </row>
    <row r="1373" spans="1:8" ht="17.399999999999999" x14ac:dyDescent="0.25">
      <c r="A1373" s="32" t="s">
        <v>4</v>
      </c>
      <c r="B1373" s="33"/>
      <c r="C1373" s="12">
        <v>100</v>
      </c>
      <c r="D1373" s="30" t="str">
        <f t="shared" si="21"/>
        <v/>
      </c>
      <c r="E1373" s="13"/>
      <c r="F1373" s="13"/>
      <c r="G1373" s="12"/>
      <c r="H1373" s="14"/>
    </row>
    <row r="1374" spans="1:8" ht="17.399999999999999" x14ac:dyDescent="0.25">
      <c r="A1374" s="34" t="s">
        <v>685</v>
      </c>
      <c r="B1374" s="35"/>
      <c r="C1374" s="15">
        <v>1212.55</v>
      </c>
      <c r="D1374" s="29">
        <f t="shared" si="21"/>
        <v>3.7892187499999999</v>
      </c>
      <c r="E1374" s="10"/>
      <c r="F1374" s="10"/>
      <c r="G1374" s="15"/>
      <c r="H1374" s="11"/>
    </row>
    <row r="1375" spans="1:8" ht="17.399999999999999" x14ac:dyDescent="0.25">
      <c r="A1375" s="32" t="s">
        <v>4</v>
      </c>
      <c r="B1375" s="33"/>
      <c r="C1375" s="12">
        <v>320</v>
      </c>
      <c r="D1375" s="30" t="str">
        <f t="shared" si="21"/>
        <v/>
      </c>
      <c r="E1375" s="13"/>
      <c r="F1375" s="13"/>
      <c r="G1375" s="12"/>
      <c r="H1375" s="14"/>
    </row>
    <row r="1376" spans="1:8" ht="17.399999999999999" x14ac:dyDescent="0.25">
      <c r="A1376" s="34" t="s">
        <v>686</v>
      </c>
      <c r="B1376" s="35"/>
      <c r="C1376" s="15">
        <v>4175.71</v>
      </c>
      <c r="D1376" s="29">
        <f t="shared" si="21"/>
        <v>34.797583333333336</v>
      </c>
      <c r="E1376" s="10"/>
      <c r="F1376" s="10"/>
      <c r="G1376" s="15"/>
      <c r="H1376" s="11"/>
    </row>
    <row r="1377" spans="1:8" ht="17.399999999999999" x14ac:dyDescent="0.25">
      <c r="A1377" s="32" t="s">
        <v>4</v>
      </c>
      <c r="B1377" s="33"/>
      <c r="C1377" s="12">
        <v>120</v>
      </c>
      <c r="D1377" s="30" t="str">
        <f t="shared" si="21"/>
        <v/>
      </c>
      <c r="E1377" s="13"/>
      <c r="F1377" s="13"/>
      <c r="G1377" s="12"/>
      <c r="H1377" s="14"/>
    </row>
    <row r="1378" spans="1:8" ht="17.399999999999999" x14ac:dyDescent="0.25">
      <c r="A1378" s="34" t="s">
        <v>687</v>
      </c>
      <c r="B1378" s="35"/>
      <c r="C1378" s="9">
        <v>382.85</v>
      </c>
      <c r="D1378" s="29">
        <f t="shared" si="21"/>
        <v>76.570000000000007</v>
      </c>
      <c r="E1378" s="10"/>
      <c r="F1378" s="10"/>
      <c r="G1378" s="9"/>
      <c r="H1378" s="11"/>
    </row>
    <row r="1379" spans="1:8" ht="17.399999999999999" x14ac:dyDescent="0.25">
      <c r="A1379" s="32" t="s">
        <v>4</v>
      </c>
      <c r="B1379" s="33"/>
      <c r="C1379" s="12">
        <v>5</v>
      </c>
      <c r="D1379" s="30" t="str">
        <f t="shared" si="21"/>
        <v/>
      </c>
      <c r="E1379" s="13"/>
      <c r="F1379" s="13"/>
      <c r="G1379" s="12"/>
      <c r="H1379" s="14"/>
    </row>
    <row r="1380" spans="1:8" ht="17.399999999999999" x14ac:dyDescent="0.25">
      <c r="A1380" s="34" t="s">
        <v>688</v>
      </c>
      <c r="B1380" s="35"/>
      <c r="C1380" s="9">
        <v>12.45</v>
      </c>
      <c r="D1380" s="29">
        <f t="shared" si="21"/>
        <v>12.45</v>
      </c>
      <c r="E1380" s="10"/>
      <c r="F1380" s="10"/>
      <c r="G1380" s="9"/>
      <c r="H1380" s="11"/>
    </row>
    <row r="1381" spans="1:8" ht="17.399999999999999" x14ac:dyDescent="0.25">
      <c r="A1381" s="32" t="s">
        <v>4</v>
      </c>
      <c r="B1381" s="33"/>
      <c r="C1381" s="12">
        <v>1</v>
      </c>
      <c r="D1381" s="30" t="str">
        <f t="shared" si="21"/>
        <v/>
      </c>
      <c r="E1381" s="13"/>
      <c r="F1381" s="13"/>
      <c r="G1381" s="12"/>
      <c r="H1381" s="14"/>
    </row>
    <row r="1382" spans="1:8" ht="17.399999999999999" x14ac:dyDescent="0.25">
      <c r="A1382" s="34" t="s">
        <v>689</v>
      </c>
      <c r="B1382" s="35"/>
      <c r="C1382" s="15">
        <v>19753.64</v>
      </c>
      <c r="D1382" s="29">
        <f t="shared" si="21"/>
        <v>329.22733333333332</v>
      </c>
      <c r="E1382" s="10"/>
      <c r="F1382" s="10"/>
      <c r="G1382" s="15"/>
      <c r="H1382" s="11"/>
    </row>
    <row r="1383" spans="1:8" ht="17.399999999999999" x14ac:dyDescent="0.25">
      <c r="A1383" s="32" t="s">
        <v>4</v>
      </c>
      <c r="B1383" s="33"/>
      <c r="C1383" s="12">
        <v>60</v>
      </c>
      <c r="D1383" s="30" t="str">
        <f t="shared" si="21"/>
        <v/>
      </c>
      <c r="E1383" s="13"/>
      <c r="F1383" s="13"/>
      <c r="G1383" s="12"/>
      <c r="H1383" s="14"/>
    </row>
    <row r="1384" spans="1:8" ht="17.399999999999999" x14ac:dyDescent="0.25">
      <c r="A1384" s="34" t="s">
        <v>690</v>
      </c>
      <c r="B1384" s="35"/>
      <c r="C1384" s="15">
        <v>2401.16</v>
      </c>
      <c r="D1384" s="29">
        <f t="shared" si="21"/>
        <v>0.57999033816425116</v>
      </c>
      <c r="E1384" s="10"/>
      <c r="F1384" s="10"/>
      <c r="G1384" s="15"/>
      <c r="H1384" s="11"/>
    </row>
    <row r="1385" spans="1:8" ht="17.399999999999999" x14ac:dyDescent="0.25">
      <c r="A1385" s="32" t="s">
        <v>4</v>
      </c>
      <c r="B1385" s="33"/>
      <c r="C1385" s="16">
        <v>4140</v>
      </c>
      <c r="D1385" s="30" t="str">
        <f t="shared" si="21"/>
        <v/>
      </c>
      <c r="E1385" s="13"/>
      <c r="F1385" s="13"/>
      <c r="G1385" s="16"/>
      <c r="H1385" s="14"/>
    </row>
    <row r="1386" spans="1:8" ht="17.399999999999999" x14ac:dyDescent="0.25">
      <c r="A1386" s="34" t="s">
        <v>691</v>
      </c>
      <c r="B1386" s="35"/>
      <c r="C1386" s="9">
        <v>486.43</v>
      </c>
      <c r="D1386" s="29">
        <f t="shared" si="21"/>
        <v>0.38914399999999999</v>
      </c>
      <c r="E1386" s="10"/>
      <c r="F1386" s="10"/>
      <c r="G1386" s="9"/>
      <c r="H1386" s="11"/>
    </row>
    <row r="1387" spans="1:8" ht="17.399999999999999" x14ac:dyDescent="0.25">
      <c r="A1387" s="32" t="s">
        <v>4</v>
      </c>
      <c r="B1387" s="33"/>
      <c r="C1387" s="16">
        <v>1250</v>
      </c>
      <c r="D1387" s="30" t="str">
        <f t="shared" si="21"/>
        <v/>
      </c>
      <c r="E1387" s="13"/>
      <c r="F1387" s="13"/>
      <c r="G1387" s="16"/>
      <c r="H1387" s="14"/>
    </row>
    <row r="1388" spans="1:8" ht="17.399999999999999" x14ac:dyDescent="0.25">
      <c r="A1388" s="34" t="s">
        <v>692</v>
      </c>
      <c r="B1388" s="35"/>
      <c r="C1388" s="9">
        <v>72.900000000000006</v>
      </c>
      <c r="D1388" s="29">
        <f t="shared" si="21"/>
        <v>0.48600000000000004</v>
      </c>
      <c r="E1388" s="10"/>
      <c r="F1388" s="10"/>
      <c r="G1388" s="9"/>
      <c r="H1388" s="11"/>
    </row>
    <row r="1389" spans="1:8" ht="17.399999999999999" x14ac:dyDescent="0.25">
      <c r="A1389" s="32" t="s">
        <v>4</v>
      </c>
      <c r="B1389" s="33"/>
      <c r="C1389" s="12">
        <v>150</v>
      </c>
      <c r="D1389" s="30" t="str">
        <f t="shared" si="21"/>
        <v/>
      </c>
      <c r="E1389" s="13"/>
      <c r="F1389" s="13"/>
      <c r="G1389" s="12"/>
      <c r="H1389" s="14"/>
    </row>
    <row r="1390" spans="1:8" ht="17.399999999999999" x14ac:dyDescent="0.25">
      <c r="A1390" s="34" t="s">
        <v>693</v>
      </c>
      <c r="B1390" s="35"/>
      <c r="C1390" s="9">
        <v>132.30000000000001</v>
      </c>
      <c r="D1390" s="29">
        <f t="shared" si="21"/>
        <v>13.23</v>
      </c>
      <c r="E1390" s="10"/>
      <c r="F1390" s="10"/>
      <c r="G1390" s="9"/>
      <c r="H1390" s="11"/>
    </row>
    <row r="1391" spans="1:8" ht="17.399999999999999" x14ac:dyDescent="0.25">
      <c r="A1391" s="32" t="s">
        <v>4</v>
      </c>
      <c r="B1391" s="33"/>
      <c r="C1391" s="12">
        <v>10</v>
      </c>
      <c r="D1391" s="30" t="str">
        <f t="shared" si="21"/>
        <v/>
      </c>
      <c r="E1391" s="13"/>
      <c r="F1391" s="13"/>
      <c r="G1391" s="12"/>
      <c r="H1391" s="14"/>
    </row>
    <row r="1392" spans="1:8" ht="17.399999999999999" x14ac:dyDescent="0.25">
      <c r="A1392" s="34" t="s">
        <v>694</v>
      </c>
      <c r="B1392" s="35"/>
      <c r="C1392" s="15">
        <v>5546</v>
      </c>
      <c r="D1392" s="29">
        <f t="shared" si="21"/>
        <v>1.8993150684931508</v>
      </c>
      <c r="E1392" s="10"/>
      <c r="F1392" s="10"/>
      <c r="G1392" s="15"/>
      <c r="H1392" s="11"/>
    </row>
    <row r="1393" spans="1:8" ht="17.399999999999999" x14ac:dyDescent="0.25">
      <c r="A1393" s="32" t="s">
        <v>4</v>
      </c>
      <c r="B1393" s="33"/>
      <c r="C1393" s="16">
        <v>2920</v>
      </c>
      <c r="D1393" s="30" t="str">
        <f t="shared" si="21"/>
        <v/>
      </c>
      <c r="E1393" s="13"/>
      <c r="F1393" s="13"/>
      <c r="G1393" s="16"/>
      <c r="H1393" s="14"/>
    </row>
    <row r="1394" spans="1:8" ht="17.399999999999999" x14ac:dyDescent="0.25">
      <c r="A1394" s="34" t="s">
        <v>695</v>
      </c>
      <c r="B1394" s="35"/>
      <c r="C1394" s="9">
        <v>60.03</v>
      </c>
      <c r="D1394" s="29">
        <f t="shared" si="21"/>
        <v>0.60030000000000006</v>
      </c>
      <c r="E1394" s="10"/>
      <c r="F1394" s="10"/>
      <c r="G1394" s="9"/>
      <c r="H1394" s="11"/>
    </row>
    <row r="1395" spans="1:8" ht="17.399999999999999" x14ac:dyDescent="0.25">
      <c r="A1395" s="32" t="s">
        <v>4</v>
      </c>
      <c r="B1395" s="33"/>
      <c r="C1395" s="12">
        <v>100</v>
      </c>
      <c r="D1395" s="30" t="str">
        <f t="shared" si="21"/>
        <v/>
      </c>
      <c r="E1395" s="13"/>
      <c r="F1395" s="13"/>
      <c r="G1395" s="12"/>
      <c r="H1395" s="14"/>
    </row>
    <row r="1396" spans="1:8" ht="17.399999999999999" x14ac:dyDescent="0.25">
      <c r="A1396" s="34" t="s">
        <v>696</v>
      </c>
      <c r="B1396" s="35"/>
      <c r="C1396" s="15">
        <v>1660.71</v>
      </c>
      <c r="D1396" s="29">
        <f t="shared" si="21"/>
        <v>1.7667127659574469</v>
      </c>
      <c r="E1396" s="10"/>
      <c r="F1396" s="10"/>
      <c r="G1396" s="15"/>
      <c r="H1396" s="11"/>
    </row>
    <row r="1397" spans="1:8" ht="17.399999999999999" x14ac:dyDescent="0.25">
      <c r="A1397" s="32" t="s">
        <v>4</v>
      </c>
      <c r="B1397" s="33"/>
      <c r="C1397" s="12">
        <v>940</v>
      </c>
      <c r="D1397" s="30" t="str">
        <f t="shared" si="21"/>
        <v/>
      </c>
      <c r="E1397" s="13"/>
      <c r="F1397" s="13"/>
      <c r="G1397" s="12"/>
      <c r="H1397" s="14"/>
    </row>
    <row r="1398" spans="1:8" ht="17.399999999999999" x14ac:dyDescent="0.25">
      <c r="A1398" s="34" t="s">
        <v>697</v>
      </c>
      <c r="B1398" s="35"/>
      <c r="C1398" s="15">
        <v>2286.5700000000002</v>
      </c>
      <c r="D1398" s="29">
        <f t="shared" si="21"/>
        <v>6.8255820895522392</v>
      </c>
      <c r="E1398" s="10"/>
      <c r="F1398" s="10"/>
      <c r="G1398" s="15"/>
      <c r="H1398" s="11"/>
    </row>
    <row r="1399" spans="1:8" ht="17.399999999999999" x14ac:dyDescent="0.25">
      <c r="A1399" s="32" t="s">
        <v>4</v>
      </c>
      <c r="B1399" s="33"/>
      <c r="C1399" s="12">
        <v>335</v>
      </c>
      <c r="D1399" s="30" t="str">
        <f t="shared" si="21"/>
        <v/>
      </c>
      <c r="E1399" s="13"/>
      <c r="F1399" s="13"/>
      <c r="G1399" s="12"/>
      <c r="H1399" s="14"/>
    </row>
    <row r="1400" spans="1:8" ht="17.399999999999999" x14ac:dyDescent="0.25">
      <c r="A1400" s="34" t="s">
        <v>698</v>
      </c>
      <c r="B1400" s="35"/>
      <c r="C1400" s="9">
        <v>948.56</v>
      </c>
      <c r="D1400" s="29">
        <f t="shared" si="21"/>
        <v>47.427999999999997</v>
      </c>
      <c r="E1400" s="10"/>
      <c r="F1400" s="10"/>
      <c r="G1400" s="9"/>
      <c r="H1400" s="11"/>
    </row>
    <row r="1401" spans="1:8" ht="17.399999999999999" x14ac:dyDescent="0.25">
      <c r="A1401" s="32" t="s">
        <v>4</v>
      </c>
      <c r="B1401" s="33"/>
      <c r="C1401" s="12">
        <v>20</v>
      </c>
      <c r="D1401" s="30" t="str">
        <f t="shared" si="21"/>
        <v/>
      </c>
      <c r="E1401" s="13"/>
      <c r="F1401" s="13"/>
      <c r="G1401" s="12"/>
      <c r="H1401" s="14"/>
    </row>
    <row r="1402" spans="1:8" ht="17.399999999999999" x14ac:dyDescent="0.25">
      <c r="A1402" s="34" t="s">
        <v>699</v>
      </c>
      <c r="B1402" s="35"/>
      <c r="C1402" s="9">
        <v>112.52</v>
      </c>
      <c r="D1402" s="29">
        <f t="shared" si="21"/>
        <v>0.93766666666666665</v>
      </c>
      <c r="E1402" s="10"/>
      <c r="F1402" s="10"/>
      <c r="G1402" s="9"/>
      <c r="H1402" s="11"/>
    </row>
    <row r="1403" spans="1:8" ht="17.399999999999999" x14ac:dyDescent="0.25">
      <c r="A1403" s="32" t="s">
        <v>4</v>
      </c>
      <c r="B1403" s="33"/>
      <c r="C1403" s="12">
        <v>120</v>
      </c>
      <c r="D1403" s="30" t="str">
        <f t="shared" si="21"/>
        <v/>
      </c>
      <c r="E1403" s="13"/>
      <c r="F1403" s="13"/>
      <c r="G1403" s="12"/>
      <c r="H1403" s="14"/>
    </row>
    <row r="1404" spans="1:8" ht="17.399999999999999" x14ac:dyDescent="0.25">
      <c r="A1404" s="34" t="s">
        <v>700</v>
      </c>
      <c r="B1404" s="35"/>
      <c r="C1404" s="15">
        <v>6113.32</v>
      </c>
      <c r="D1404" s="29">
        <f t="shared" si="21"/>
        <v>15.920104166666667</v>
      </c>
      <c r="E1404" s="10"/>
      <c r="F1404" s="10"/>
      <c r="G1404" s="15"/>
      <c r="H1404" s="11"/>
    </row>
    <row r="1405" spans="1:8" ht="17.399999999999999" x14ac:dyDescent="0.25">
      <c r="A1405" s="32" t="s">
        <v>4</v>
      </c>
      <c r="B1405" s="33"/>
      <c r="C1405" s="12">
        <v>384</v>
      </c>
      <c r="D1405" s="30" t="str">
        <f t="shared" si="21"/>
        <v/>
      </c>
      <c r="E1405" s="13"/>
      <c r="F1405" s="13"/>
      <c r="G1405" s="12"/>
      <c r="H1405" s="14"/>
    </row>
    <row r="1406" spans="1:8" ht="17.399999999999999" x14ac:dyDescent="0.25">
      <c r="A1406" s="34" t="s">
        <v>701</v>
      </c>
      <c r="B1406" s="35"/>
      <c r="C1406" s="9">
        <v>95.94</v>
      </c>
      <c r="D1406" s="29">
        <f t="shared" si="21"/>
        <v>0.63959999999999995</v>
      </c>
      <c r="E1406" s="10"/>
      <c r="F1406" s="10"/>
      <c r="G1406" s="9"/>
      <c r="H1406" s="11"/>
    </row>
    <row r="1407" spans="1:8" ht="17.399999999999999" x14ac:dyDescent="0.25">
      <c r="A1407" s="32" t="s">
        <v>4</v>
      </c>
      <c r="B1407" s="33"/>
      <c r="C1407" s="12">
        <v>150</v>
      </c>
      <c r="D1407" s="30" t="str">
        <f t="shared" si="21"/>
        <v/>
      </c>
      <c r="E1407" s="13"/>
      <c r="F1407" s="13"/>
      <c r="G1407" s="12"/>
      <c r="H1407" s="14"/>
    </row>
    <row r="1408" spans="1:8" ht="17.399999999999999" x14ac:dyDescent="0.25">
      <c r="A1408" s="34" t="s">
        <v>702</v>
      </c>
      <c r="B1408" s="35"/>
      <c r="C1408" s="9">
        <v>264.60000000000002</v>
      </c>
      <c r="D1408" s="29">
        <f t="shared" si="21"/>
        <v>17.64</v>
      </c>
      <c r="E1408" s="10"/>
      <c r="F1408" s="10"/>
      <c r="G1408" s="9"/>
      <c r="H1408" s="11"/>
    </row>
    <row r="1409" spans="1:8" ht="17.399999999999999" x14ac:dyDescent="0.25">
      <c r="A1409" s="32" t="s">
        <v>4</v>
      </c>
      <c r="B1409" s="33"/>
      <c r="C1409" s="12">
        <v>15</v>
      </c>
      <c r="D1409" s="30" t="str">
        <f t="shared" si="21"/>
        <v/>
      </c>
      <c r="E1409" s="13"/>
      <c r="F1409" s="13"/>
      <c r="G1409" s="12"/>
      <c r="H1409" s="14"/>
    </row>
    <row r="1410" spans="1:8" ht="17.399999999999999" x14ac:dyDescent="0.25">
      <c r="A1410" s="34" t="s">
        <v>703</v>
      </c>
      <c r="B1410" s="35"/>
      <c r="C1410" s="9">
        <v>99.72</v>
      </c>
      <c r="D1410" s="29">
        <f t="shared" si="21"/>
        <v>24.93</v>
      </c>
      <c r="E1410" s="10"/>
      <c r="F1410" s="10"/>
      <c r="G1410" s="9"/>
      <c r="H1410" s="11"/>
    </row>
    <row r="1411" spans="1:8" ht="17.399999999999999" x14ac:dyDescent="0.25">
      <c r="A1411" s="32" t="s">
        <v>4</v>
      </c>
      <c r="B1411" s="33"/>
      <c r="C1411" s="12">
        <v>4</v>
      </c>
      <c r="D1411" s="30" t="str">
        <f t="shared" si="21"/>
        <v/>
      </c>
      <c r="E1411" s="13"/>
      <c r="F1411" s="13"/>
      <c r="G1411" s="12"/>
      <c r="H1411" s="14"/>
    </row>
    <row r="1412" spans="1:8" ht="17.399999999999999" x14ac:dyDescent="0.25">
      <c r="A1412" s="34" t="s">
        <v>704</v>
      </c>
      <c r="B1412" s="35"/>
      <c r="C1412" s="15">
        <v>1134</v>
      </c>
      <c r="D1412" s="29">
        <f t="shared" si="21"/>
        <v>11.34</v>
      </c>
      <c r="E1412" s="10"/>
      <c r="F1412" s="10"/>
      <c r="G1412" s="15"/>
      <c r="H1412" s="11"/>
    </row>
    <row r="1413" spans="1:8" ht="17.399999999999999" x14ac:dyDescent="0.25">
      <c r="A1413" s="32" t="s">
        <v>4</v>
      </c>
      <c r="B1413" s="33"/>
      <c r="C1413" s="12">
        <v>100</v>
      </c>
      <c r="D1413" s="30" t="str">
        <f t="shared" si="21"/>
        <v/>
      </c>
      <c r="E1413" s="13"/>
      <c r="F1413" s="13"/>
      <c r="G1413" s="12"/>
      <c r="H1413" s="14"/>
    </row>
    <row r="1414" spans="1:8" ht="17.399999999999999" x14ac:dyDescent="0.25">
      <c r="A1414" s="34" t="s">
        <v>705</v>
      </c>
      <c r="B1414" s="35"/>
      <c r="C1414" s="9">
        <v>225.1</v>
      </c>
      <c r="D1414" s="29">
        <f t="shared" si="21"/>
        <v>16.078571428571429</v>
      </c>
      <c r="E1414" s="10"/>
      <c r="F1414" s="10"/>
      <c r="G1414" s="9"/>
      <c r="H1414" s="11"/>
    </row>
    <row r="1415" spans="1:8" ht="17.399999999999999" x14ac:dyDescent="0.25">
      <c r="A1415" s="32" t="s">
        <v>4</v>
      </c>
      <c r="B1415" s="33"/>
      <c r="C1415" s="12">
        <v>14</v>
      </c>
      <c r="D1415" s="30" t="str">
        <f t="shared" si="21"/>
        <v/>
      </c>
      <c r="E1415" s="13"/>
      <c r="F1415" s="13"/>
      <c r="G1415" s="12"/>
      <c r="H1415" s="14"/>
    </row>
    <row r="1416" spans="1:8" ht="17.399999999999999" x14ac:dyDescent="0.25">
      <c r="A1416" s="34" t="s">
        <v>706</v>
      </c>
      <c r="B1416" s="35"/>
      <c r="C1416" s="9">
        <v>433.05</v>
      </c>
      <c r="D1416" s="29">
        <f t="shared" si="21"/>
        <v>6.0145833333333334</v>
      </c>
      <c r="E1416" s="10"/>
      <c r="F1416" s="10"/>
      <c r="G1416" s="9"/>
      <c r="H1416" s="11"/>
    </row>
    <row r="1417" spans="1:8" ht="17.399999999999999" x14ac:dyDescent="0.25">
      <c r="A1417" s="32" t="s">
        <v>4</v>
      </c>
      <c r="B1417" s="33"/>
      <c r="C1417" s="12">
        <v>72</v>
      </c>
      <c r="D1417" s="30" t="str">
        <f t="shared" si="21"/>
        <v/>
      </c>
      <c r="E1417" s="13"/>
      <c r="F1417" s="13"/>
      <c r="G1417" s="12"/>
      <c r="H1417" s="14"/>
    </row>
    <row r="1418" spans="1:8" ht="17.399999999999999" x14ac:dyDescent="0.25">
      <c r="A1418" s="34" t="s">
        <v>707</v>
      </c>
      <c r="B1418" s="35"/>
      <c r="C1418" s="9">
        <v>280.26</v>
      </c>
      <c r="D1418" s="29">
        <f t="shared" ref="D1418:D1481" si="22">IF($A1419="Кол-во",IFERROR($C1418/$C1419,""),"")</f>
        <v>18.684000000000001</v>
      </c>
      <c r="E1418" s="10"/>
      <c r="F1418" s="10"/>
      <c r="G1418" s="9"/>
      <c r="H1418" s="11"/>
    </row>
    <row r="1419" spans="1:8" ht="17.399999999999999" x14ac:dyDescent="0.25">
      <c r="A1419" s="32" t="s">
        <v>4</v>
      </c>
      <c r="B1419" s="33"/>
      <c r="C1419" s="12">
        <v>15</v>
      </c>
      <c r="D1419" s="30" t="str">
        <f t="shared" si="22"/>
        <v/>
      </c>
      <c r="E1419" s="13"/>
      <c r="F1419" s="13"/>
      <c r="G1419" s="12"/>
      <c r="H1419" s="14"/>
    </row>
    <row r="1420" spans="1:8" ht="17.399999999999999" x14ac:dyDescent="0.25">
      <c r="A1420" s="34" t="s">
        <v>708</v>
      </c>
      <c r="B1420" s="35"/>
      <c r="C1420" s="9">
        <v>632.52</v>
      </c>
      <c r="D1420" s="29">
        <f t="shared" si="22"/>
        <v>42.167999999999999</v>
      </c>
      <c r="E1420" s="10"/>
      <c r="F1420" s="10"/>
      <c r="G1420" s="9"/>
      <c r="H1420" s="11"/>
    </row>
    <row r="1421" spans="1:8" ht="17.399999999999999" x14ac:dyDescent="0.25">
      <c r="A1421" s="32" t="s">
        <v>4</v>
      </c>
      <c r="B1421" s="33"/>
      <c r="C1421" s="12">
        <v>15</v>
      </c>
      <c r="D1421" s="30" t="str">
        <f t="shared" si="22"/>
        <v/>
      </c>
      <c r="E1421" s="13"/>
      <c r="F1421" s="13"/>
      <c r="G1421" s="12"/>
      <c r="H1421" s="14"/>
    </row>
    <row r="1422" spans="1:8" ht="17.399999999999999" x14ac:dyDescent="0.25">
      <c r="A1422" s="34" t="s">
        <v>709</v>
      </c>
      <c r="B1422" s="35"/>
      <c r="C1422" s="9">
        <v>632.52</v>
      </c>
      <c r="D1422" s="29">
        <f t="shared" si="22"/>
        <v>42.167999999999999</v>
      </c>
      <c r="E1422" s="10"/>
      <c r="F1422" s="10"/>
      <c r="G1422" s="9"/>
      <c r="H1422" s="11"/>
    </row>
    <row r="1423" spans="1:8" ht="17.399999999999999" x14ac:dyDescent="0.25">
      <c r="A1423" s="32" t="s">
        <v>4</v>
      </c>
      <c r="B1423" s="33"/>
      <c r="C1423" s="12">
        <v>15</v>
      </c>
      <c r="D1423" s="30" t="str">
        <f t="shared" si="22"/>
        <v/>
      </c>
      <c r="E1423" s="13"/>
      <c r="F1423" s="13"/>
      <c r="G1423" s="12"/>
      <c r="H1423" s="14"/>
    </row>
    <row r="1424" spans="1:8" ht="17.399999999999999" x14ac:dyDescent="0.25">
      <c r="A1424" s="34" t="s">
        <v>710</v>
      </c>
      <c r="B1424" s="35"/>
      <c r="C1424" s="9">
        <v>678.09</v>
      </c>
      <c r="D1424" s="29">
        <f t="shared" si="22"/>
        <v>3.7671666666666668</v>
      </c>
      <c r="E1424" s="10"/>
      <c r="F1424" s="10"/>
      <c r="G1424" s="9"/>
      <c r="H1424" s="11"/>
    </row>
    <row r="1425" spans="1:8" ht="17.399999999999999" x14ac:dyDescent="0.25">
      <c r="A1425" s="32" t="s">
        <v>4</v>
      </c>
      <c r="B1425" s="33"/>
      <c r="C1425" s="12">
        <v>180</v>
      </c>
      <c r="D1425" s="30" t="str">
        <f t="shared" si="22"/>
        <v/>
      </c>
      <c r="E1425" s="13"/>
      <c r="F1425" s="13"/>
      <c r="G1425" s="12"/>
      <c r="H1425" s="14"/>
    </row>
    <row r="1426" spans="1:8" ht="17.399999999999999" x14ac:dyDescent="0.25">
      <c r="A1426" s="34" t="s">
        <v>711</v>
      </c>
      <c r="B1426" s="35"/>
      <c r="C1426" s="9">
        <v>317.83999999999997</v>
      </c>
      <c r="D1426" s="29">
        <f t="shared" si="22"/>
        <v>15.891999999999999</v>
      </c>
      <c r="E1426" s="10"/>
      <c r="F1426" s="10"/>
      <c r="G1426" s="9"/>
      <c r="H1426" s="11"/>
    </row>
    <row r="1427" spans="1:8" ht="17.399999999999999" x14ac:dyDescent="0.25">
      <c r="A1427" s="32" t="s">
        <v>4</v>
      </c>
      <c r="B1427" s="33"/>
      <c r="C1427" s="12">
        <v>20</v>
      </c>
      <c r="D1427" s="30" t="str">
        <f t="shared" si="22"/>
        <v/>
      </c>
      <c r="E1427" s="13"/>
      <c r="F1427" s="13"/>
      <c r="G1427" s="12"/>
      <c r="H1427" s="14"/>
    </row>
    <row r="1428" spans="1:8" ht="17.399999999999999" x14ac:dyDescent="0.25">
      <c r="A1428" s="34" t="s">
        <v>712</v>
      </c>
      <c r="B1428" s="35"/>
      <c r="C1428" s="9">
        <v>73.959999999999994</v>
      </c>
      <c r="D1428" s="29">
        <f t="shared" si="22"/>
        <v>1.2326666666666666</v>
      </c>
      <c r="E1428" s="10"/>
      <c r="F1428" s="10"/>
      <c r="G1428" s="9"/>
      <c r="H1428" s="11"/>
    </row>
    <row r="1429" spans="1:8" ht="17.399999999999999" x14ac:dyDescent="0.25">
      <c r="A1429" s="32" t="s">
        <v>4</v>
      </c>
      <c r="B1429" s="33"/>
      <c r="C1429" s="12">
        <v>60</v>
      </c>
      <c r="D1429" s="30" t="str">
        <f t="shared" si="22"/>
        <v/>
      </c>
      <c r="E1429" s="13"/>
      <c r="F1429" s="13"/>
      <c r="G1429" s="12"/>
      <c r="H1429" s="14"/>
    </row>
    <row r="1430" spans="1:8" ht="17.399999999999999" x14ac:dyDescent="0.25">
      <c r="A1430" s="34" t="s">
        <v>713</v>
      </c>
      <c r="B1430" s="35"/>
      <c r="C1430" s="9">
        <v>594</v>
      </c>
      <c r="D1430" s="29">
        <f t="shared" si="22"/>
        <v>1.32</v>
      </c>
      <c r="E1430" s="10"/>
      <c r="F1430" s="10"/>
      <c r="G1430" s="9"/>
      <c r="H1430" s="11"/>
    </row>
    <row r="1431" spans="1:8" ht="17.399999999999999" x14ac:dyDescent="0.25">
      <c r="A1431" s="32" t="s">
        <v>4</v>
      </c>
      <c r="B1431" s="33"/>
      <c r="C1431" s="12">
        <v>450</v>
      </c>
      <c r="D1431" s="30" t="str">
        <f t="shared" si="22"/>
        <v/>
      </c>
      <c r="E1431" s="13"/>
      <c r="F1431" s="13"/>
      <c r="G1431" s="12"/>
      <c r="H1431" s="14"/>
    </row>
    <row r="1432" spans="1:8" ht="17.399999999999999" x14ac:dyDescent="0.25">
      <c r="A1432" s="34" t="s">
        <v>714</v>
      </c>
      <c r="B1432" s="35"/>
      <c r="C1432" s="15">
        <v>10964.79</v>
      </c>
      <c r="D1432" s="29">
        <f t="shared" si="22"/>
        <v>105.43067307692309</v>
      </c>
      <c r="E1432" s="10"/>
      <c r="F1432" s="10"/>
      <c r="G1432" s="15"/>
      <c r="H1432" s="11"/>
    </row>
    <row r="1433" spans="1:8" ht="17.399999999999999" x14ac:dyDescent="0.25">
      <c r="A1433" s="32" t="s">
        <v>4</v>
      </c>
      <c r="B1433" s="33"/>
      <c r="C1433" s="12">
        <v>104</v>
      </c>
      <c r="D1433" s="30" t="str">
        <f t="shared" si="22"/>
        <v/>
      </c>
      <c r="E1433" s="13"/>
      <c r="F1433" s="13"/>
      <c r="G1433" s="12"/>
      <c r="H1433" s="14"/>
    </row>
    <row r="1434" spans="1:8" ht="17.399999999999999" x14ac:dyDescent="0.25">
      <c r="A1434" s="34" t="s">
        <v>715</v>
      </c>
      <c r="B1434" s="35"/>
      <c r="C1434" s="15">
        <v>3287.25</v>
      </c>
      <c r="D1434" s="29">
        <f t="shared" si="22"/>
        <v>109.575</v>
      </c>
      <c r="E1434" s="10"/>
      <c r="F1434" s="10"/>
      <c r="G1434" s="15"/>
      <c r="H1434" s="11"/>
    </row>
    <row r="1435" spans="1:8" ht="17.399999999999999" x14ac:dyDescent="0.25">
      <c r="A1435" s="32" t="s">
        <v>4</v>
      </c>
      <c r="B1435" s="33"/>
      <c r="C1435" s="12">
        <v>30</v>
      </c>
      <c r="D1435" s="30" t="str">
        <f t="shared" si="22"/>
        <v/>
      </c>
      <c r="E1435" s="13"/>
      <c r="F1435" s="13"/>
      <c r="G1435" s="12"/>
      <c r="H1435" s="14"/>
    </row>
    <row r="1436" spans="1:8" ht="17.399999999999999" x14ac:dyDescent="0.25">
      <c r="A1436" s="34" t="s">
        <v>716</v>
      </c>
      <c r="B1436" s="35"/>
      <c r="C1436" s="9">
        <v>295.92</v>
      </c>
      <c r="D1436" s="29">
        <f t="shared" si="22"/>
        <v>14.796000000000001</v>
      </c>
      <c r="E1436" s="10"/>
      <c r="F1436" s="10"/>
      <c r="G1436" s="9"/>
      <c r="H1436" s="11"/>
    </row>
    <row r="1437" spans="1:8" ht="17.399999999999999" x14ac:dyDescent="0.25">
      <c r="A1437" s="32" t="s">
        <v>4</v>
      </c>
      <c r="B1437" s="33"/>
      <c r="C1437" s="12">
        <v>20</v>
      </c>
      <c r="D1437" s="30" t="str">
        <f t="shared" si="22"/>
        <v/>
      </c>
      <c r="E1437" s="13"/>
      <c r="F1437" s="13"/>
      <c r="G1437" s="12"/>
      <c r="H1437" s="14"/>
    </row>
    <row r="1438" spans="1:8" ht="17.399999999999999" x14ac:dyDescent="0.25">
      <c r="A1438" s="34" t="s">
        <v>717</v>
      </c>
      <c r="B1438" s="35"/>
      <c r="C1438" s="15">
        <v>3654.72</v>
      </c>
      <c r="D1438" s="29">
        <f t="shared" si="22"/>
        <v>20.303999999999998</v>
      </c>
      <c r="E1438" s="10"/>
      <c r="F1438" s="10"/>
      <c r="G1438" s="15"/>
      <c r="H1438" s="11"/>
    </row>
    <row r="1439" spans="1:8" ht="17.399999999999999" x14ac:dyDescent="0.25">
      <c r="A1439" s="32" t="s">
        <v>4</v>
      </c>
      <c r="B1439" s="33"/>
      <c r="C1439" s="12">
        <v>180</v>
      </c>
      <c r="D1439" s="30" t="str">
        <f t="shared" si="22"/>
        <v/>
      </c>
      <c r="E1439" s="13"/>
      <c r="F1439" s="13"/>
      <c r="G1439" s="12"/>
      <c r="H1439" s="14"/>
    </row>
    <row r="1440" spans="1:8" ht="17.399999999999999" x14ac:dyDescent="0.25">
      <c r="A1440" s="34" t="s">
        <v>718</v>
      </c>
      <c r="B1440" s="35"/>
      <c r="C1440" s="15">
        <v>7916.47</v>
      </c>
      <c r="D1440" s="29">
        <f t="shared" si="22"/>
        <v>16.356342975206612</v>
      </c>
      <c r="E1440" s="10"/>
      <c r="F1440" s="10"/>
      <c r="G1440" s="15"/>
      <c r="H1440" s="11"/>
    </row>
    <row r="1441" spans="1:8" ht="17.399999999999999" x14ac:dyDescent="0.25">
      <c r="A1441" s="32" t="s">
        <v>4</v>
      </c>
      <c r="B1441" s="33"/>
      <c r="C1441" s="12">
        <v>484</v>
      </c>
      <c r="D1441" s="30" t="str">
        <f t="shared" si="22"/>
        <v/>
      </c>
      <c r="E1441" s="13"/>
      <c r="F1441" s="13"/>
      <c r="G1441" s="12"/>
      <c r="H1441" s="14"/>
    </row>
    <row r="1442" spans="1:8" ht="17.399999999999999" x14ac:dyDescent="0.25">
      <c r="A1442" s="34" t="s">
        <v>719</v>
      </c>
      <c r="B1442" s="35"/>
      <c r="C1442" s="9">
        <v>759.94</v>
      </c>
      <c r="D1442" s="29">
        <f t="shared" si="22"/>
        <v>3.1664166666666671</v>
      </c>
      <c r="E1442" s="10"/>
      <c r="F1442" s="10"/>
      <c r="G1442" s="9"/>
      <c r="H1442" s="11"/>
    </row>
    <row r="1443" spans="1:8" ht="17.399999999999999" x14ac:dyDescent="0.25">
      <c r="A1443" s="32" t="s">
        <v>4</v>
      </c>
      <c r="B1443" s="33"/>
      <c r="C1443" s="12">
        <v>240</v>
      </c>
      <c r="D1443" s="30" t="str">
        <f t="shared" si="22"/>
        <v/>
      </c>
      <c r="E1443" s="13"/>
      <c r="F1443" s="13"/>
      <c r="G1443" s="12"/>
      <c r="H1443" s="14"/>
    </row>
    <row r="1444" spans="1:8" ht="17.399999999999999" x14ac:dyDescent="0.25">
      <c r="A1444" s="34" t="s">
        <v>720</v>
      </c>
      <c r="B1444" s="35"/>
      <c r="C1444" s="9">
        <v>32.94</v>
      </c>
      <c r="D1444" s="29">
        <f t="shared" si="22"/>
        <v>0.65879999999999994</v>
      </c>
      <c r="E1444" s="10"/>
      <c r="F1444" s="10"/>
      <c r="G1444" s="9"/>
      <c r="H1444" s="11"/>
    </row>
    <row r="1445" spans="1:8" ht="17.399999999999999" x14ac:dyDescent="0.25">
      <c r="A1445" s="32" t="s">
        <v>4</v>
      </c>
      <c r="B1445" s="33"/>
      <c r="C1445" s="12">
        <v>50</v>
      </c>
      <c r="D1445" s="30" t="str">
        <f t="shared" si="22"/>
        <v/>
      </c>
      <c r="E1445" s="13"/>
      <c r="F1445" s="13"/>
      <c r="G1445" s="12"/>
      <c r="H1445" s="14"/>
    </row>
    <row r="1446" spans="1:8" ht="17.399999999999999" x14ac:dyDescent="0.25">
      <c r="A1446" s="34" t="s">
        <v>721</v>
      </c>
      <c r="B1446" s="35"/>
      <c r="C1446" s="9">
        <v>166.1</v>
      </c>
      <c r="D1446" s="29">
        <f t="shared" si="22"/>
        <v>0.66439999999999999</v>
      </c>
      <c r="E1446" s="10"/>
      <c r="F1446" s="10"/>
      <c r="G1446" s="9"/>
      <c r="H1446" s="11"/>
    </row>
    <row r="1447" spans="1:8" ht="17.399999999999999" x14ac:dyDescent="0.25">
      <c r="A1447" s="32" t="s">
        <v>4</v>
      </c>
      <c r="B1447" s="33"/>
      <c r="C1447" s="12">
        <v>250</v>
      </c>
      <c r="D1447" s="30" t="str">
        <f t="shared" si="22"/>
        <v/>
      </c>
      <c r="E1447" s="13"/>
      <c r="F1447" s="13"/>
      <c r="G1447" s="12"/>
      <c r="H1447" s="14"/>
    </row>
    <row r="1448" spans="1:8" ht="17.399999999999999" x14ac:dyDescent="0.25">
      <c r="A1448" s="34" t="s">
        <v>722</v>
      </c>
      <c r="B1448" s="35"/>
      <c r="C1448" s="9">
        <v>299.7</v>
      </c>
      <c r="D1448" s="29">
        <f t="shared" si="22"/>
        <v>1.7629411764705882</v>
      </c>
      <c r="E1448" s="10"/>
      <c r="F1448" s="10"/>
      <c r="G1448" s="9"/>
      <c r="H1448" s="11"/>
    </row>
    <row r="1449" spans="1:8" ht="17.399999999999999" x14ac:dyDescent="0.25">
      <c r="A1449" s="32" t="s">
        <v>4</v>
      </c>
      <c r="B1449" s="33"/>
      <c r="C1449" s="12">
        <v>170</v>
      </c>
      <c r="D1449" s="30" t="str">
        <f t="shared" si="22"/>
        <v/>
      </c>
      <c r="E1449" s="13"/>
      <c r="F1449" s="13"/>
      <c r="G1449" s="12"/>
      <c r="H1449" s="14"/>
    </row>
    <row r="1450" spans="1:8" ht="17.399999999999999" x14ac:dyDescent="0.25">
      <c r="A1450" s="34" t="s">
        <v>723</v>
      </c>
      <c r="B1450" s="35"/>
      <c r="C1450" s="9">
        <v>190.51</v>
      </c>
      <c r="D1450" s="29">
        <f t="shared" si="22"/>
        <v>19.050999999999998</v>
      </c>
      <c r="E1450" s="10"/>
      <c r="F1450" s="10"/>
      <c r="G1450" s="9"/>
      <c r="H1450" s="11"/>
    </row>
    <row r="1451" spans="1:8" ht="17.399999999999999" x14ac:dyDescent="0.25">
      <c r="A1451" s="32" t="s">
        <v>4</v>
      </c>
      <c r="B1451" s="33"/>
      <c r="C1451" s="12">
        <v>10</v>
      </c>
      <c r="D1451" s="30" t="str">
        <f t="shared" si="22"/>
        <v/>
      </c>
      <c r="E1451" s="13"/>
      <c r="F1451" s="13"/>
      <c r="G1451" s="12"/>
      <c r="H1451" s="14"/>
    </row>
    <row r="1452" spans="1:8" ht="17.399999999999999" x14ac:dyDescent="0.25">
      <c r="A1452" s="34" t="s">
        <v>724</v>
      </c>
      <c r="B1452" s="35"/>
      <c r="C1452" s="9">
        <v>731.82</v>
      </c>
      <c r="D1452" s="29">
        <f t="shared" si="22"/>
        <v>2.6136428571428572</v>
      </c>
      <c r="E1452" s="10"/>
      <c r="F1452" s="10"/>
      <c r="G1452" s="9"/>
      <c r="H1452" s="11"/>
    </row>
    <row r="1453" spans="1:8" ht="17.399999999999999" x14ac:dyDescent="0.25">
      <c r="A1453" s="32" t="s">
        <v>4</v>
      </c>
      <c r="B1453" s="33"/>
      <c r="C1453" s="12">
        <v>280</v>
      </c>
      <c r="D1453" s="30" t="str">
        <f t="shared" si="22"/>
        <v/>
      </c>
      <c r="E1453" s="13"/>
      <c r="F1453" s="13"/>
      <c r="G1453" s="12"/>
      <c r="H1453" s="14"/>
    </row>
    <row r="1454" spans="1:8" ht="17.399999999999999" x14ac:dyDescent="0.25">
      <c r="A1454" s="34" t="s">
        <v>725</v>
      </c>
      <c r="B1454" s="35"/>
      <c r="C1454" s="9">
        <v>291.60000000000002</v>
      </c>
      <c r="D1454" s="29">
        <f t="shared" si="22"/>
        <v>4.8600000000000003</v>
      </c>
      <c r="E1454" s="10"/>
      <c r="F1454" s="10"/>
      <c r="G1454" s="9"/>
      <c r="H1454" s="11"/>
    </row>
    <row r="1455" spans="1:8" ht="17.399999999999999" x14ac:dyDescent="0.25">
      <c r="A1455" s="32" t="s">
        <v>4</v>
      </c>
      <c r="B1455" s="33"/>
      <c r="C1455" s="12">
        <v>60</v>
      </c>
      <c r="D1455" s="30" t="str">
        <f t="shared" si="22"/>
        <v/>
      </c>
      <c r="E1455" s="13"/>
      <c r="F1455" s="13"/>
      <c r="G1455" s="12"/>
      <c r="H1455" s="14"/>
    </row>
    <row r="1456" spans="1:8" ht="17.399999999999999" x14ac:dyDescent="0.25">
      <c r="A1456" s="34" t="s">
        <v>726</v>
      </c>
      <c r="B1456" s="35"/>
      <c r="C1456" s="15">
        <v>13227</v>
      </c>
      <c r="D1456" s="29">
        <f t="shared" si="22"/>
        <v>22.045000000000002</v>
      </c>
      <c r="E1456" s="10"/>
      <c r="F1456" s="10"/>
      <c r="G1456" s="15"/>
      <c r="H1456" s="11"/>
    </row>
    <row r="1457" spans="1:8" ht="17.399999999999999" x14ac:dyDescent="0.25">
      <c r="A1457" s="32" t="s">
        <v>4</v>
      </c>
      <c r="B1457" s="33"/>
      <c r="C1457" s="12">
        <v>600</v>
      </c>
      <c r="D1457" s="30" t="str">
        <f t="shared" si="22"/>
        <v/>
      </c>
      <c r="E1457" s="13"/>
      <c r="F1457" s="13"/>
      <c r="G1457" s="12"/>
      <c r="H1457" s="14"/>
    </row>
    <row r="1458" spans="1:8" ht="17.399999999999999" x14ac:dyDescent="0.25">
      <c r="A1458" s="34" t="s">
        <v>727</v>
      </c>
      <c r="B1458" s="35"/>
      <c r="C1458" s="15">
        <v>5455.81</v>
      </c>
      <c r="D1458" s="29">
        <f t="shared" si="22"/>
        <v>1.7320031746031748</v>
      </c>
      <c r="E1458" s="10"/>
      <c r="F1458" s="10"/>
      <c r="G1458" s="15"/>
      <c r="H1458" s="11"/>
    </row>
    <row r="1459" spans="1:8" ht="17.399999999999999" x14ac:dyDescent="0.25">
      <c r="A1459" s="32" t="s">
        <v>4</v>
      </c>
      <c r="B1459" s="33"/>
      <c r="C1459" s="16">
        <v>3150</v>
      </c>
      <c r="D1459" s="30" t="str">
        <f t="shared" si="22"/>
        <v/>
      </c>
      <c r="E1459" s="13"/>
      <c r="F1459" s="13"/>
      <c r="G1459" s="16"/>
      <c r="H1459" s="14"/>
    </row>
    <row r="1460" spans="1:8" ht="17.399999999999999" x14ac:dyDescent="0.25">
      <c r="A1460" s="34" t="s">
        <v>728</v>
      </c>
      <c r="B1460" s="35"/>
      <c r="C1460" s="15">
        <v>47269.599999999999</v>
      </c>
      <c r="D1460" s="29">
        <f t="shared" si="22"/>
        <v>11.557359413202933</v>
      </c>
      <c r="E1460" s="10"/>
      <c r="F1460" s="10"/>
      <c r="G1460" s="15"/>
      <c r="H1460" s="11"/>
    </row>
    <row r="1461" spans="1:8" ht="17.399999999999999" x14ac:dyDescent="0.25">
      <c r="A1461" s="32" t="s">
        <v>4</v>
      </c>
      <c r="B1461" s="33"/>
      <c r="C1461" s="16">
        <v>4090</v>
      </c>
      <c r="D1461" s="30" t="str">
        <f t="shared" si="22"/>
        <v/>
      </c>
      <c r="E1461" s="13"/>
      <c r="F1461" s="13"/>
      <c r="G1461" s="16"/>
      <c r="H1461" s="14"/>
    </row>
    <row r="1462" spans="1:8" ht="17.399999999999999" x14ac:dyDescent="0.25">
      <c r="A1462" s="34" t="s">
        <v>729</v>
      </c>
      <c r="B1462" s="35"/>
      <c r="C1462" s="9">
        <v>154.69</v>
      </c>
      <c r="D1462" s="29">
        <f t="shared" si="22"/>
        <v>77.344999999999999</v>
      </c>
      <c r="E1462" s="10"/>
      <c r="F1462" s="10"/>
      <c r="G1462" s="9"/>
      <c r="H1462" s="11"/>
    </row>
    <row r="1463" spans="1:8" ht="17.399999999999999" x14ac:dyDescent="0.25">
      <c r="A1463" s="32" t="s">
        <v>4</v>
      </c>
      <c r="B1463" s="33"/>
      <c r="C1463" s="12">
        <v>2</v>
      </c>
      <c r="D1463" s="30" t="str">
        <f t="shared" si="22"/>
        <v/>
      </c>
      <c r="E1463" s="13"/>
      <c r="F1463" s="13"/>
      <c r="G1463" s="12"/>
      <c r="H1463" s="14"/>
    </row>
    <row r="1464" spans="1:8" ht="17.399999999999999" x14ac:dyDescent="0.25">
      <c r="A1464" s="34" t="s">
        <v>730</v>
      </c>
      <c r="B1464" s="35"/>
      <c r="C1464" s="15">
        <v>46406.85</v>
      </c>
      <c r="D1464" s="29">
        <f t="shared" si="22"/>
        <v>515.63166666666666</v>
      </c>
      <c r="E1464" s="10"/>
      <c r="F1464" s="10"/>
      <c r="G1464" s="15"/>
      <c r="H1464" s="11"/>
    </row>
    <row r="1465" spans="1:8" ht="17.399999999999999" x14ac:dyDescent="0.25">
      <c r="A1465" s="32" t="s">
        <v>4</v>
      </c>
      <c r="B1465" s="33"/>
      <c r="C1465" s="12">
        <v>90</v>
      </c>
      <c r="D1465" s="30" t="str">
        <f t="shared" si="22"/>
        <v/>
      </c>
      <c r="E1465" s="13"/>
      <c r="F1465" s="13"/>
      <c r="G1465" s="12"/>
      <c r="H1465" s="14"/>
    </row>
    <row r="1466" spans="1:8" ht="17.399999999999999" x14ac:dyDescent="0.25">
      <c r="A1466" s="34" t="s">
        <v>731</v>
      </c>
      <c r="B1466" s="35"/>
      <c r="C1466" s="9">
        <v>698.45</v>
      </c>
      <c r="D1466" s="29">
        <f t="shared" si="22"/>
        <v>2.4084482758620691</v>
      </c>
      <c r="E1466" s="10"/>
      <c r="F1466" s="10"/>
      <c r="G1466" s="9"/>
      <c r="H1466" s="11"/>
    </row>
    <row r="1467" spans="1:8" ht="17.399999999999999" x14ac:dyDescent="0.25">
      <c r="A1467" s="32" t="s">
        <v>4</v>
      </c>
      <c r="B1467" s="33"/>
      <c r="C1467" s="12">
        <v>290</v>
      </c>
      <c r="D1467" s="30" t="str">
        <f t="shared" si="22"/>
        <v/>
      </c>
      <c r="E1467" s="13"/>
      <c r="F1467" s="13"/>
      <c r="G1467" s="12"/>
      <c r="H1467" s="14"/>
    </row>
    <row r="1468" spans="1:8" ht="17.399999999999999" x14ac:dyDescent="0.25">
      <c r="A1468" s="34" t="s">
        <v>732</v>
      </c>
      <c r="B1468" s="35"/>
      <c r="C1468" s="15">
        <v>7232.52</v>
      </c>
      <c r="D1468" s="29">
        <f t="shared" si="22"/>
        <v>1.4523132530120484</v>
      </c>
      <c r="E1468" s="10"/>
      <c r="F1468" s="10"/>
      <c r="G1468" s="15"/>
      <c r="H1468" s="11"/>
    </row>
    <row r="1469" spans="1:8" ht="17.399999999999999" x14ac:dyDescent="0.25">
      <c r="A1469" s="32" t="s">
        <v>4</v>
      </c>
      <c r="B1469" s="33"/>
      <c r="C1469" s="16">
        <v>4980</v>
      </c>
      <c r="D1469" s="30" t="str">
        <f t="shared" si="22"/>
        <v/>
      </c>
      <c r="E1469" s="13"/>
      <c r="F1469" s="13"/>
      <c r="G1469" s="16"/>
      <c r="H1469" s="14"/>
    </row>
    <row r="1470" spans="1:8" ht="17.399999999999999" x14ac:dyDescent="0.25">
      <c r="A1470" s="34" t="s">
        <v>733</v>
      </c>
      <c r="B1470" s="35"/>
      <c r="C1470" s="9">
        <v>26.15</v>
      </c>
      <c r="D1470" s="29">
        <f t="shared" si="22"/>
        <v>26.15</v>
      </c>
      <c r="E1470" s="10"/>
      <c r="F1470" s="10"/>
      <c r="G1470" s="9"/>
      <c r="H1470" s="11"/>
    </row>
    <row r="1471" spans="1:8" ht="17.399999999999999" x14ac:dyDescent="0.25">
      <c r="A1471" s="32" t="s">
        <v>4</v>
      </c>
      <c r="B1471" s="33"/>
      <c r="C1471" s="12">
        <v>1</v>
      </c>
      <c r="D1471" s="30" t="str">
        <f t="shared" si="22"/>
        <v/>
      </c>
      <c r="E1471" s="13"/>
      <c r="F1471" s="13"/>
      <c r="G1471" s="12"/>
      <c r="H1471" s="14"/>
    </row>
    <row r="1472" spans="1:8" ht="17.399999999999999" x14ac:dyDescent="0.25">
      <c r="A1472" s="34" t="s">
        <v>734</v>
      </c>
      <c r="B1472" s="35"/>
      <c r="C1472" s="15">
        <v>7410.46</v>
      </c>
      <c r="D1472" s="29">
        <f t="shared" si="22"/>
        <v>2.7964000000000002</v>
      </c>
      <c r="E1472" s="10"/>
      <c r="F1472" s="10"/>
      <c r="G1472" s="15"/>
      <c r="H1472" s="11"/>
    </row>
    <row r="1473" spans="1:8" ht="17.399999999999999" x14ac:dyDescent="0.25">
      <c r="A1473" s="32" t="s">
        <v>4</v>
      </c>
      <c r="B1473" s="33"/>
      <c r="C1473" s="16">
        <v>2650</v>
      </c>
      <c r="D1473" s="30" t="str">
        <f t="shared" si="22"/>
        <v/>
      </c>
      <c r="E1473" s="13"/>
      <c r="F1473" s="13"/>
      <c r="G1473" s="16"/>
      <c r="H1473" s="14"/>
    </row>
    <row r="1474" spans="1:8" ht="17.399999999999999" x14ac:dyDescent="0.25">
      <c r="A1474" s="34" t="s">
        <v>735</v>
      </c>
      <c r="B1474" s="35"/>
      <c r="C1474" s="9">
        <v>200.82</v>
      </c>
      <c r="D1474" s="29">
        <f t="shared" si="22"/>
        <v>66.94</v>
      </c>
      <c r="E1474" s="10"/>
      <c r="F1474" s="10"/>
      <c r="G1474" s="9"/>
      <c r="H1474" s="11"/>
    </row>
    <row r="1475" spans="1:8" ht="17.399999999999999" x14ac:dyDescent="0.25">
      <c r="A1475" s="32" t="s">
        <v>4</v>
      </c>
      <c r="B1475" s="33"/>
      <c r="C1475" s="12">
        <v>3</v>
      </c>
      <c r="D1475" s="30" t="str">
        <f t="shared" si="22"/>
        <v/>
      </c>
      <c r="E1475" s="13"/>
      <c r="F1475" s="13"/>
      <c r="G1475" s="12"/>
      <c r="H1475" s="14"/>
    </row>
    <row r="1476" spans="1:8" ht="17.399999999999999" x14ac:dyDescent="0.25">
      <c r="A1476" s="34" t="s">
        <v>736</v>
      </c>
      <c r="B1476" s="35"/>
      <c r="C1476" s="9">
        <v>72.36</v>
      </c>
      <c r="D1476" s="29">
        <f t="shared" si="22"/>
        <v>0.72360000000000002</v>
      </c>
      <c r="E1476" s="10"/>
      <c r="F1476" s="10"/>
      <c r="G1476" s="9"/>
      <c r="H1476" s="11"/>
    </row>
    <row r="1477" spans="1:8" ht="17.399999999999999" x14ac:dyDescent="0.25">
      <c r="A1477" s="32" t="s">
        <v>4</v>
      </c>
      <c r="B1477" s="33"/>
      <c r="C1477" s="12">
        <v>100</v>
      </c>
      <c r="D1477" s="30" t="str">
        <f t="shared" si="22"/>
        <v/>
      </c>
      <c r="E1477" s="13"/>
      <c r="F1477" s="13"/>
      <c r="G1477" s="12"/>
      <c r="H1477" s="14"/>
    </row>
    <row r="1478" spans="1:8" ht="17.399999999999999" x14ac:dyDescent="0.25">
      <c r="A1478" s="34" t="s">
        <v>737</v>
      </c>
      <c r="B1478" s="35"/>
      <c r="C1478" s="15">
        <v>2688.37</v>
      </c>
      <c r="D1478" s="29">
        <f t="shared" si="22"/>
        <v>35.37328947368421</v>
      </c>
      <c r="E1478" s="10"/>
      <c r="F1478" s="10"/>
      <c r="G1478" s="15"/>
      <c r="H1478" s="11"/>
    </row>
    <row r="1479" spans="1:8" ht="17.399999999999999" x14ac:dyDescent="0.25">
      <c r="A1479" s="32" t="s">
        <v>4</v>
      </c>
      <c r="B1479" s="33"/>
      <c r="C1479" s="12">
        <v>76</v>
      </c>
      <c r="D1479" s="30" t="str">
        <f t="shared" si="22"/>
        <v/>
      </c>
      <c r="E1479" s="13"/>
      <c r="F1479" s="13"/>
      <c r="G1479" s="12"/>
      <c r="H1479" s="14"/>
    </row>
    <row r="1480" spans="1:8" ht="17.399999999999999" x14ac:dyDescent="0.25">
      <c r="A1480" s="34" t="s">
        <v>738</v>
      </c>
      <c r="B1480" s="35"/>
      <c r="C1480" s="9">
        <v>156.08000000000001</v>
      </c>
      <c r="D1480" s="29">
        <f t="shared" si="22"/>
        <v>3.9020000000000001</v>
      </c>
      <c r="E1480" s="10"/>
      <c r="F1480" s="10"/>
      <c r="G1480" s="9"/>
      <c r="H1480" s="11"/>
    </row>
    <row r="1481" spans="1:8" ht="17.399999999999999" x14ac:dyDescent="0.25">
      <c r="A1481" s="32" t="s">
        <v>4</v>
      </c>
      <c r="B1481" s="33"/>
      <c r="C1481" s="12">
        <v>40</v>
      </c>
      <c r="D1481" s="30" t="str">
        <f t="shared" si="22"/>
        <v/>
      </c>
      <c r="E1481" s="13"/>
      <c r="F1481" s="13"/>
      <c r="G1481" s="12"/>
      <c r="H1481" s="14"/>
    </row>
    <row r="1482" spans="1:8" ht="17.399999999999999" x14ac:dyDescent="0.25">
      <c r="A1482" s="34" t="s">
        <v>739</v>
      </c>
      <c r="B1482" s="35"/>
      <c r="C1482" s="9">
        <v>25.27</v>
      </c>
      <c r="D1482" s="29">
        <f t="shared" ref="D1482:D1492" si="23">IF($A1483="Кол-во",IFERROR($C1482/$C1483,""),"")</f>
        <v>0.42116666666666663</v>
      </c>
      <c r="E1482" s="10"/>
      <c r="F1482" s="10"/>
      <c r="G1482" s="9"/>
      <c r="H1482" s="11"/>
    </row>
    <row r="1483" spans="1:8" ht="17.399999999999999" x14ac:dyDescent="0.25">
      <c r="A1483" s="32" t="s">
        <v>4</v>
      </c>
      <c r="B1483" s="33"/>
      <c r="C1483" s="12">
        <v>60</v>
      </c>
      <c r="D1483" s="30" t="str">
        <f t="shared" si="23"/>
        <v/>
      </c>
      <c r="E1483" s="13"/>
      <c r="F1483" s="13"/>
      <c r="G1483" s="12"/>
      <c r="H1483" s="14"/>
    </row>
    <row r="1484" spans="1:8" ht="17.399999999999999" x14ac:dyDescent="0.25">
      <c r="A1484" s="34" t="s">
        <v>740</v>
      </c>
      <c r="B1484" s="35"/>
      <c r="C1484" s="15">
        <v>29022.42</v>
      </c>
      <c r="D1484" s="29">
        <f t="shared" si="23"/>
        <v>39.219486486486481</v>
      </c>
      <c r="E1484" s="10"/>
      <c r="F1484" s="10"/>
      <c r="G1484" s="15"/>
      <c r="H1484" s="11"/>
    </row>
    <row r="1485" spans="1:8" ht="17.399999999999999" x14ac:dyDescent="0.25">
      <c r="A1485" s="32" t="s">
        <v>4</v>
      </c>
      <c r="B1485" s="33"/>
      <c r="C1485" s="12">
        <v>740</v>
      </c>
      <c r="D1485" s="30" t="str">
        <f t="shared" si="23"/>
        <v/>
      </c>
      <c r="E1485" s="13"/>
      <c r="F1485" s="13"/>
      <c r="G1485" s="12"/>
      <c r="H1485" s="14"/>
    </row>
    <row r="1486" spans="1:8" ht="17.399999999999999" x14ac:dyDescent="0.25">
      <c r="A1486" s="34" t="s">
        <v>741</v>
      </c>
      <c r="B1486" s="35"/>
      <c r="C1486" s="15">
        <v>7845.15</v>
      </c>
      <c r="D1486" s="29">
        <f t="shared" si="23"/>
        <v>65.376249999999999</v>
      </c>
      <c r="E1486" s="10"/>
      <c r="F1486" s="10"/>
      <c r="G1486" s="15"/>
      <c r="H1486" s="11"/>
    </row>
    <row r="1487" spans="1:8" ht="17.399999999999999" x14ac:dyDescent="0.25">
      <c r="A1487" s="32" t="s">
        <v>4</v>
      </c>
      <c r="B1487" s="33"/>
      <c r="C1487" s="12">
        <v>120</v>
      </c>
      <c r="D1487" s="30" t="str">
        <f t="shared" si="23"/>
        <v/>
      </c>
      <c r="E1487" s="13"/>
      <c r="F1487" s="13"/>
      <c r="G1487" s="12"/>
      <c r="H1487" s="14"/>
    </row>
    <row r="1488" spans="1:8" ht="17.399999999999999" x14ac:dyDescent="0.25">
      <c r="A1488" s="34" t="s">
        <v>742</v>
      </c>
      <c r="B1488" s="35"/>
      <c r="C1488" s="9">
        <v>321.04000000000002</v>
      </c>
      <c r="D1488" s="29">
        <f t="shared" si="23"/>
        <v>29.185454545454547</v>
      </c>
      <c r="E1488" s="10"/>
      <c r="F1488" s="10"/>
      <c r="G1488" s="9"/>
      <c r="H1488" s="11"/>
    </row>
    <row r="1489" spans="1:8" ht="17.399999999999999" x14ac:dyDescent="0.25">
      <c r="A1489" s="32" t="s">
        <v>4</v>
      </c>
      <c r="B1489" s="33"/>
      <c r="C1489" s="12">
        <v>11</v>
      </c>
      <c r="D1489" s="30" t="str">
        <f t="shared" si="23"/>
        <v/>
      </c>
      <c r="E1489" s="13"/>
      <c r="F1489" s="13"/>
      <c r="G1489" s="12"/>
      <c r="H1489" s="14"/>
    </row>
    <row r="1490" spans="1:8" ht="17.399999999999999" x14ac:dyDescent="0.25">
      <c r="A1490" s="34" t="s">
        <v>743</v>
      </c>
      <c r="B1490" s="35"/>
      <c r="C1490" s="9">
        <v>448.5</v>
      </c>
      <c r="D1490" s="29">
        <f t="shared" si="23"/>
        <v>224.25</v>
      </c>
      <c r="E1490" s="10"/>
      <c r="F1490" s="10"/>
      <c r="G1490" s="9"/>
      <c r="H1490" s="11"/>
    </row>
    <row r="1491" spans="1:8" ht="17.399999999999999" x14ac:dyDescent="0.25">
      <c r="A1491" s="32" t="s">
        <v>4</v>
      </c>
      <c r="B1491" s="33"/>
      <c r="C1491" s="12">
        <v>2</v>
      </c>
      <c r="D1491" s="30" t="str">
        <f t="shared" si="23"/>
        <v/>
      </c>
      <c r="E1491" s="13"/>
      <c r="F1491" s="13"/>
      <c r="G1491" s="12"/>
      <c r="H1491" s="14"/>
    </row>
    <row r="1492" spans="1:8" ht="17.399999999999999" x14ac:dyDescent="0.25">
      <c r="A1492" s="36" t="s">
        <v>744</v>
      </c>
      <c r="B1492" s="37"/>
      <c r="C1492" s="17">
        <v>5971404.9100000001</v>
      </c>
      <c r="D1492" s="31" t="str">
        <f t="shared" si="23"/>
        <v/>
      </c>
      <c r="E1492" s="18"/>
      <c r="F1492" s="18"/>
      <c r="G1492" s="17"/>
      <c r="H1492" s="19"/>
    </row>
    <row r="1493" spans="1:8" ht="17.399999999999999" x14ac:dyDescent="0.3">
      <c r="A1493" s="38"/>
      <c r="B1493" s="39"/>
      <c r="C1493" s="20"/>
      <c r="D1493" s="20"/>
      <c r="E1493" s="20"/>
      <c r="F1493" s="20"/>
      <c r="G1493" s="20"/>
      <c r="H1493" s="20"/>
    </row>
  </sheetData>
  <mergeCells count="1489">
    <mergeCell ref="G8:H8"/>
    <mergeCell ref="A8:B8"/>
    <mergeCell ref="C8:D8"/>
    <mergeCell ref="A9:B9"/>
    <mergeCell ref="A10:B10"/>
    <mergeCell ref="A30:B30"/>
    <mergeCell ref="A31:B31"/>
    <mergeCell ref="A32:B32"/>
    <mergeCell ref="A33:B33"/>
    <mergeCell ref="E8:F8"/>
    <mergeCell ref="A11:B11"/>
    <mergeCell ref="A12:B12"/>
    <mergeCell ref="A13:B13"/>
    <mergeCell ref="A14:B14"/>
    <mergeCell ref="A15:B15"/>
    <mergeCell ref="A16:B16"/>
    <mergeCell ref="A48:B48"/>
    <mergeCell ref="A49:B49"/>
    <mergeCell ref="A50:B50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66:B66"/>
    <mergeCell ref="A67:B67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61:B61"/>
    <mergeCell ref="A62:B62"/>
    <mergeCell ref="A63:B63"/>
    <mergeCell ref="A64:B64"/>
    <mergeCell ref="A65:B65"/>
    <mergeCell ref="A56:B56"/>
    <mergeCell ref="A57:B57"/>
    <mergeCell ref="A58:B58"/>
    <mergeCell ref="A59:B59"/>
    <mergeCell ref="A60:B60"/>
    <mergeCell ref="A51:B51"/>
    <mergeCell ref="A52:B52"/>
    <mergeCell ref="A53:B53"/>
    <mergeCell ref="A54:B54"/>
    <mergeCell ref="A55:B55"/>
    <mergeCell ref="A80:B80"/>
    <mergeCell ref="A81:B81"/>
    <mergeCell ref="A82:B82"/>
    <mergeCell ref="A83:B83"/>
    <mergeCell ref="A84:B84"/>
    <mergeCell ref="A98:B98"/>
    <mergeCell ref="A99:B99"/>
    <mergeCell ref="A100:B100"/>
    <mergeCell ref="A101:B101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116:B116"/>
    <mergeCell ref="A117:B117"/>
    <mergeCell ref="A118:B118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134:B134"/>
    <mergeCell ref="A135:B135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29:B129"/>
    <mergeCell ref="A130:B130"/>
    <mergeCell ref="A131:B131"/>
    <mergeCell ref="A132:B132"/>
    <mergeCell ref="A133:B133"/>
    <mergeCell ref="A124:B124"/>
    <mergeCell ref="A125:B125"/>
    <mergeCell ref="A126:B126"/>
    <mergeCell ref="A127:B127"/>
    <mergeCell ref="A128:B128"/>
    <mergeCell ref="A119:B119"/>
    <mergeCell ref="A120:B120"/>
    <mergeCell ref="A121:B121"/>
    <mergeCell ref="A122:B122"/>
    <mergeCell ref="A123:B123"/>
    <mergeCell ref="A148:B148"/>
    <mergeCell ref="A149:B149"/>
    <mergeCell ref="A150:B150"/>
    <mergeCell ref="A151:B151"/>
    <mergeCell ref="A152:B152"/>
    <mergeCell ref="A166:B166"/>
    <mergeCell ref="A167:B167"/>
    <mergeCell ref="A168:B168"/>
    <mergeCell ref="A169:B169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84:B184"/>
    <mergeCell ref="A185:B185"/>
    <mergeCell ref="A186:B186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202:B202"/>
    <mergeCell ref="A203:B203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97:B197"/>
    <mergeCell ref="A198:B198"/>
    <mergeCell ref="A199:B199"/>
    <mergeCell ref="A200:B200"/>
    <mergeCell ref="A201:B201"/>
    <mergeCell ref="A192:B192"/>
    <mergeCell ref="A193:B193"/>
    <mergeCell ref="A194:B194"/>
    <mergeCell ref="A195:B195"/>
    <mergeCell ref="A196:B196"/>
    <mergeCell ref="A187:B187"/>
    <mergeCell ref="A188:B188"/>
    <mergeCell ref="A189:B189"/>
    <mergeCell ref="A190:B190"/>
    <mergeCell ref="A191:B191"/>
    <mergeCell ref="A216:B216"/>
    <mergeCell ref="A217:B217"/>
    <mergeCell ref="A218:B218"/>
    <mergeCell ref="A219:B219"/>
    <mergeCell ref="A220:B220"/>
    <mergeCell ref="A234:B234"/>
    <mergeCell ref="A235:B235"/>
    <mergeCell ref="A236:B236"/>
    <mergeCell ref="A237:B237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52:B252"/>
    <mergeCell ref="A253:B253"/>
    <mergeCell ref="A254:B254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70:B270"/>
    <mergeCell ref="A271:B271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65:B265"/>
    <mergeCell ref="A266:B266"/>
    <mergeCell ref="A267:B267"/>
    <mergeCell ref="A268:B268"/>
    <mergeCell ref="A269:B269"/>
    <mergeCell ref="A260:B260"/>
    <mergeCell ref="A261:B261"/>
    <mergeCell ref="A262:B262"/>
    <mergeCell ref="A263:B263"/>
    <mergeCell ref="A264:B264"/>
    <mergeCell ref="A255:B255"/>
    <mergeCell ref="A256:B256"/>
    <mergeCell ref="A257:B257"/>
    <mergeCell ref="A258:B258"/>
    <mergeCell ref="A259:B259"/>
    <mergeCell ref="A284:B284"/>
    <mergeCell ref="A285:B285"/>
    <mergeCell ref="A286:B286"/>
    <mergeCell ref="A287:B287"/>
    <mergeCell ref="A288:B288"/>
    <mergeCell ref="A302:B302"/>
    <mergeCell ref="A303:B303"/>
    <mergeCell ref="A304:B304"/>
    <mergeCell ref="A305:B305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320:B320"/>
    <mergeCell ref="A321:B321"/>
    <mergeCell ref="A322:B322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38:B338"/>
    <mergeCell ref="A339:B339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33:B333"/>
    <mergeCell ref="A334:B334"/>
    <mergeCell ref="A335:B335"/>
    <mergeCell ref="A336:B336"/>
    <mergeCell ref="A337:B337"/>
    <mergeCell ref="A328:B328"/>
    <mergeCell ref="A329:B329"/>
    <mergeCell ref="A330:B330"/>
    <mergeCell ref="A331:B331"/>
    <mergeCell ref="A332:B332"/>
    <mergeCell ref="A323:B323"/>
    <mergeCell ref="A324:B324"/>
    <mergeCell ref="A325:B325"/>
    <mergeCell ref="A326:B326"/>
    <mergeCell ref="A327:B327"/>
    <mergeCell ref="A352:B352"/>
    <mergeCell ref="A353:B353"/>
    <mergeCell ref="A354:B354"/>
    <mergeCell ref="A355:B355"/>
    <mergeCell ref="A356:B356"/>
    <mergeCell ref="A370:B370"/>
    <mergeCell ref="A371:B371"/>
    <mergeCell ref="A372:B372"/>
    <mergeCell ref="A373:B373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88:B388"/>
    <mergeCell ref="A389:B389"/>
    <mergeCell ref="A390:B390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406:B406"/>
    <mergeCell ref="A407:B407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401:B401"/>
    <mergeCell ref="A402:B402"/>
    <mergeCell ref="A403:B403"/>
    <mergeCell ref="A404:B404"/>
    <mergeCell ref="A405:B405"/>
    <mergeCell ref="A396:B396"/>
    <mergeCell ref="A397:B397"/>
    <mergeCell ref="A398:B398"/>
    <mergeCell ref="A399:B399"/>
    <mergeCell ref="A400:B400"/>
    <mergeCell ref="A391:B391"/>
    <mergeCell ref="A392:B392"/>
    <mergeCell ref="A393:B393"/>
    <mergeCell ref="A394:B394"/>
    <mergeCell ref="A395:B395"/>
    <mergeCell ref="A420:B420"/>
    <mergeCell ref="A421:B421"/>
    <mergeCell ref="A422:B422"/>
    <mergeCell ref="A423:B423"/>
    <mergeCell ref="A424:B424"/>
    <mergeCell ref="A438:B438"/>
    <mergeCell ref="A439:B439"/>
    <mergeCell ref="A440:B440"/>
    <mergeCell ref="A441:B441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56:B456"/>
    <mergeCell ref="A457:B457"/>
    <mergeCell ref="A458:B458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74:B474"/>
    <mergeCell ref="A475:B475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69:B469"/>
    <mergeCell ref="A470:B470"/>
    <mergeCell ref="A471:B471"/>
    <mergeCell ref="A472:B472"/>
    <mergeCell ref="A473:B473"/>
    <mergeCell ref="A464:B464"/>
    <mergeCell ref="A465:B465"/>
    <mergeCell ref="A466:B466"/>
    <mergeCell ref="A467:B467"/>
    <mergeCell ref="A468:B468"/>
    <mergeCell ref="A459:B459"/>
    <mergeCell ref="A460:B460"/>
    <mergeCell ref="A461:B461"/>
    <mergeCell ref="A462:B462"/>
    <mergeCell ref="A463:B463"/>
    <mergeCell ref="A488:B488"/>
    <mergeCell ref="A489:B489"/>
    <mergeCell ref="A490:B490"/>
    <mergeCell ref="A491:B491"/>
    <mergeCell ref="A492:B492"/>
    <mergeCell ref="A506:B506"/>
    <mergeCell ref="A507:B507"/>
    <mergeCell ref="A508:B508"/>
    <mergeCell ref="A509:B509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524:B524"/>
    <mergeCell ref="A525:B525"/>
    <mergeCell ref="A526:B526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42:B542"/>
    <mergeCell ref="A543:B543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37:B537"/>
    <mergeCell ref="A538:B538"/>
    <mergeCell ref="A539:B539"/>
    <mergeCell ref="A540:B540"/>
    <mergeCell ref="A541:B541"/>
    <mergeCell ref="A532:B532"/>
    <mergeCell ref="A533:B533"/>
    <mergeCell ref="A534:B534"/>
    <mergeCell ref="A535:B535"/>
    <mergeCell ref="A536:B536"/>
    <mergeCell ref="A527:B527"/>
    <mergeCell ref="A528:B528"/>
    <mergeCell ref="A529:B529"/>
    <mergeCell ref="A530:B530"/>
    <mergeCell ref="A531:B531"/>
    <mergeCell ref="A556:B556"/>
    <mergeCell ref="A557:B557"/>
    <mergeCell ref="A558:B558"/>
    <mergeCell ref="A559:B559"/>
    <mergeCell ref="A560:B560"/>
    <mergeCell ref="A574:B574"/>
    <mergeCell ref="A575:B575"/>
    <mergeCell ref="A576:B576"/>
    <mergeCell ref="A577:B577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92:B592"/>
    <mergeCell ref="A593:B593"/>
    <mergeCell ref="A594:B594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610:B610"/>
    <mergeCell ref="A611:B611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605:B605"/>
    <mergeCell ref="A606:B606"/>
    <mergeCell ref="A607:B607"/>
    <mergeCell ref="A608:B608"/>
    <mergeCell ref="A609:B609"/>
    <mergeCell ref="A600:B600"/>
    <mergeCell ref="A601:B601"/>
    <mergeCell ref="A602:B602"/>
    <mergeCell ref="A603:B603"/>
    <mergeCell ref="A604:B604"/>
    <mergeCell ref="A595:B595"/>
    <mergeCell ref="A596:B596"/>
    <mergeCell ref="A597:B597"/>
    <mergeCell ref="A598:B598"/>
    <mergeCell ref="A599:B599"/>
    <mergeCell ref="A624:B624"/>
    <mergeCell ref="A625:B625"/>
    <mergeCell ref="A626:B626"/>
    <mergeCell ref="A627:B627"/>
    <mergeCell ref="A628:B628"/>
    <mergeCell ref="A642:B642"/>
    <mergeCell ref="A643:B643"/>
    <mergeCell ref="A644:B644"/>
    <mergeCell ref="A645:B645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60:B660"/>
    <mergeCell ref="A661:B661"/>
    <mergeCell ref="A662:B662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78:B678"/>
    <mergeCell ref="A679:B679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73:B673"/>
    <mergeCell ref="A674:B674"/>
    <mergeCell ref="A675:B675"/>
    <mergeCell ref="A676:B676"/>
    <mergeCell ref="A677:B677"/>
    <mergeCell ref="A668:B668"/>
    <mergeCell ref="A669:B669"/>
    <mergeCell ref="A670:B670"/>
    <mergeCell ref="A671:B671"/>
    <mergeCell ref="A672:B672"/>
    <mergeCell ref="A663:B663"/>
    <mergeCell ref="A664:B664"/>
    <mergeCell ref="A665:B665"/>
    <mergeCell ref="A666:B666"/>
    <mergeCell ref="A667:B667"/>
    <mergeCell ref="A692:B692"/>
    <mergeCell ref="A693:B693"/>
    <mergeCell ref="A694:B694"/>
    <mergeCell ref="A695:B695"/>
    <mergeCell ref="A696:B696"/>
    <mergeCell ref="A710:B710"/>
    <mergeCell ref="A711:B711"/>
    <mergeCell ref="A712:B712"/>
    <mergeCell ref="A713:B713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728:B728"/>
    <mergeCell ref="A729:B729"/>
    <mergeCell ref="A730:B730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46:B746"/>
    <mergeCell ref="A747:B747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41:B741"/>
    <mergeCell ref="A742:B742"/>
    <mergeCell ref="A743:B743"/>
    <mergeCell ref="A744:B744"/>
    <mergeCell ref="A745:B745"/>
    <mergeCell ref="A736:B736"/>
    <mergeCell ref="A737:B737"/>
    <mergeCell ref="A738:B738"/>
    <mergeCell ref="A739:B739"/>
    <mergeCell ref="A740:B740"/>
    <mergeCell ref="A731:B731"/>
    <mergeCell ref="A732:B732"/>
    <mergeCell ref="A733:B733"/>
    <mergeCell ref="A734:B734"/>
    <mergeCell ref="A735:B735"/>
    <mergeCell ref="A760:B760"/>
    <mergeCell ref="A761:B761"/>
    <mergeCell ref="A762:B762"/>
    <mergeCell ref="A763:B763"/>
    <mergeCell ref="A764:B764"/>
    <mergeCell ref="A778:B778"/>
    <mergeCell ref="A779:B779"/>
    <mergeCell ref="A780:B780"/>
    <mergeCell ref="A781:B781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96:B796"/>
    <mergeCell ref="A797:B797"/>
    <mergeCell ref="A798:B798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814:B814"/>
    <mergeCell ref="A815:B815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809:B809"/>
    <mergeCell ref="A810:B810"/>
    <mergeCell ref="A811:B811"/>
    <mergeCell ref="A812:B812"/>
    <mergeCell ref="A813:B813"/>
    <mergeCell ref="A804:B804"/>
    <mergeCell ref="A805:B805"/>
    <mergeCell ref="A806:B806"/>
    <mergeCell ref="A807:B807"/>
    <mergeCell ref="A808:B808"/>
    <mergeCell ref="A799:B799"/>
    <mergeCell ref="A800:B800"/>
    <mergeCell ref="A801:B801"/>
    <mergeCell ref="A802:B802"/>
    <mergeCell ref="A803:B803"/>
    <mergeCell ref="A828:B828"/>
    <mergeCell ref="A829:B829"/>
    <mergeCell ref="A830:B830"/>
    <mergeCell ref="A831:B831"/>
    <mergeCell ref="A832:B832"/>
    <mergeCell ref="A846:B846"/>
    <mergeCell ref="A847:B847"/>
    <mergeCell ref="A848:B848"/>
    <mergeCell ref="A849:B849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64:B864"/>
    <mergeCell ref="A865:B865"/>
    <mergeCell ref="A866:B866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82:B882"/>
    <mergeCell ref="A883:B883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77:B877"/>
    <mergeCell ref="A878:B878"/>
    <mergeCell ref="A879:B879"/>
    <mergeCell ref="A880:B880"/>
    <mergeCell ref="A881:B881"/>
    <mergeCell ref="A872:B872"/>
    <mergeCell ref="A873:B873"/>
    <mergeCell ref="A874:B874"/>
    <mergeCell ref="A875:B875"/>
    <mergeCell ref="A876:B876"/>
    <mergeCell ref="A867:B867"/>
    <mergeCell ref="A868:B868"/>
    <mergeCell ref="A869:B869"/>
    <mergeCell ref="A870:B870"/>
    <mergeCell ref="A871:B871"/>
    <mergeCell ref="A896:B896"/>
    <mergeCell ref="A897:B897"/>
    <mergeCell ref="A898:B898"/>
    <mergeCell ref="A899:B899"/>
    <mergeCell ref="A900:B900"/>
    <mergeCell ref="A914:B914"/>
    <mergeCell ref="A915:B915"/>
    <mergeCell ref="A916:B916"/>
    <mergeCell ref="A917:B917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932:B932"/>
    <mergeCell ref="A933:B933"/>
    <mergeCell ref="A934:B934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50:B950"/>
    <mergeCell ref="A951:B951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45:B945"/>
    <mergeCell ref="A946:B946"/>
    <mergeCell ref="A947:B947"/>
    <mergeCell ref="A948:B948"/>
    <mergeCell ref="A949:B949"/>
    <mergeCell ref="A940:B940"/>
    <mergeCell ref="A941:B941"/>
    <mergeCell ref="A942:B942"/>
    <mergeCell ref="A943:B943"/>
    <mergeCell ref="A944:B944"/>
    <mergeCell ref="A935:B935"/>
    <mergeCell ref="A936:B936"/>
    <mergeCell ref="A937:B937"/>
    <mergeCell ref="A938:B938"/>
    <mergeCell ref="A939:B939"/>
    <mergeCell ref="A964:B964"/>
    <mergeCell ref="A965:B965"/>
    <mergeCell ref="A966:B966"/>
    <mergeCell ref="A967:B967"/>
    <mergeCell ref="A968:B968"/>
    <mergeCell ref="A982:B982"/>
    <mergeCell ref="A983:B983"/>
    <mergeCell ref="A984:B984"/>
    <mergeCell ref="A985:B985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1000:B1000"/>
    <mergeCell ref="A1001:B1001"/>
    <mergeCell ref="A1002:B1002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1018:B1018"/>
    <mergeCell ref="A1019:B1019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13:B1013"/>
    <mergeCell ref="A1014:B1014"/>
    <mergeCell ref="A1015:B1015"/>
    <mergeCell ref="A1016:B1016"/>
    <mergeCell ref="A1017:B1017"/>
    <mergeCell ref="A1008:B1008"/>
    <mergeCell ref="A1009:B1009"/>
    <mergeCell ref="A1010:B1010"/>
    <mergeCell ref="A1011:B1011"/>
    <mergeCell ref="A1012:B1012"/>
    <mergeCell ref="A1003:B1003"/>
    <mergeCell ref="A1004:B1004"/>
    <mergeCell ref="A1005:B1005"/>
    <mergeCell ref="A1006:B1006"/>
    <mergeCell ref="A1007:B1007"/>
    <mergeCell ref="A1378:B1378"/>
    <mergeCell ref="A1379:B137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373:B1373"/>
    <mergeCell ref="A1374:B1374"/>
    <mergeCell ref="A1375:B1375"/>
    <mergeCell ref="A1376:B1376"/>
    <mergeCell ref="A1377:B1377"/>
    <mergeCell ref="A1368:B1368"/>
    <mergeCell ref="A1369:B1369"/>
    <mergeCell ref="A1370:B1370"/>
    <mergeCell ref="A1371:B1371"/>
    <mergeCell ref="A1372:B1372"/>
    <mergeCell ref="A1020:B1020"/>
    <mergeCell ref="A1021:B1021"/>
    <mergeCell ref="A1022:B1022"/>
    <mergeCell ref="A1023:B1023"/>
    <mergeCell ref="A1367:B1367"/>
    <mergeCell ref="A1054:B1054"/>
    <mergeCell ref="A1392:B1392"/>
    <mergeCell ref="A1393:B1393"/>
    <mergeCell ref="A1394:B1394"/>
    <mergeCell ref="A1395:B1395"/>
    <mergeCell ref="A1396:B1396"/>
    <mergeCell ref="A1410:B1410"/>
    <mergeCell ref="A1411:B1411"/>
    <mergeCell ref="A1412:B1412"/>
    <mergeCell ref="A1413:B1413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446:B1446"/>
    <mergeCell ref="A1447:B1447"/>
    <mergeCell ref="A1448:B1448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41:B1441"/>
    <mergeCell ref="A1442:B1442"/>
    <mergeCell ref="A1443:B1443"/>
    <mergeCell ref="A1444:B1444"/>
    <mergeCell ref="A1445:B1445"/>
    <mergeCell ref="A1436:B1436"/>
    <mergeCell ref="A1437:B1437"/>
    <mergeCell ref="A1438:B1438"/>
    <mergeCell ref="A1439:B1439"/>
    <mergeCell ref="A1440:B1440"/>
    <mergeCell ref="A1475:B1475"/>
    <mergeCell ref="A1476:B1476"/>
    <mergeCell ref="A1477:B1477"/>
    <mergeCell ref="A1478:B1478"/>
    <mergeCell ref="A1486:B1486"/>
    <mergeCell ref="A1470:B1470"/>
    <mergeCell ref="A1471:B1471"/>
    <mergeCell ref="A1472:B1472"/>
    <mergeCell ref="A1473:B1473"/>
    <mergeCell ref="A1474:B1474"/>
    <mergeCell ref="A1465:B1465"/>
    <mergeCell ref="A1466:B1466"/>
    <mergeCell ref="A1467:B1467"/>
    <mergeCell ref="A1468:B1468"/>
    <mergeCell ref="A1469:B1469"/>
    <mergeCell ref="A1493:B1493"/>
    <mergeCell ref="A1479:B1479"/>
    <mergeCell ref="A1480:B1480"/>
    <mergeCell ref="A1481:B1481"/>
    <mergeCell ref="A1482:B1482"/>
    <mergeCell ref="A1483:B1483"/>
    <mergeCell ref="A1484:B1484"/>
    <mergeCell ref="A1485:B1485"/>
    <mergeCell ref="A1488:B1488"/>
    <mergeCell ref="A1489:B1489"/>
    <mergeCell ref="A1490:B1490"/>
    <mergeCell ref="A1491:B1491"/>
    <mergeCell ref="A1492:B1492"/>
    <mergeCell ref="A1036:B1036"/>
    <mergeCell ref="A1037:B1037"/>
    <mergeCell ref="A1038:B1038"/>
    <mergeCell ref="A1039:B1039"/>
    <mergeCell ref="A1487:B1487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61:B1461"/>
    <mergeCell ref="A1462:B1462"/>
    <mergeCell ref="A1463:B1463"/>
    <mergeCell ref="A1464:B1464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456:B1456"/>
    <mergeCell ref="A1457:B1457"/>
    <mergeCell ref="A1458:B1458"/>
    <mergeCell ref="A1459:B1459"/>
    <mergeCell ref="A1460:B1460"/>
    <mergeCell ref="A1451:B1451"/>
    <mergeCell ref="A1452:B1452"/>
    <mergeCell ref="A1453:B1453"/>
    <mergeCell ref="A1454:B1454"/>
    <mergeCell ref="A1455:B1455"/>
    <mergeCell ref="A1069:B1069"/>
    <mergeCell ref="A1070:B1070"/>
    <mergeCell ref="A1071:B1071"/>
    <mergeCell ref="A1449:B1449"/>
    <mergeCell ref="A1450:B1450"/>
    <mergeCell ref="A1427:B1427"/>
    <mergeCell ref="A1428:B1428"/>
    <mergeCell ref="A1429:B1429"/>
    <mergeCell ref="A1430:B1430"/>
    <mergeCell ref="A1431:B1431"/>
    <mergeCell ref="A1432:B1432"/>
    <mergeCell ref="A1433:B1433"/>
    <mergeCell ref="A1414:B1414"/>
    <mergeCell ref="A1415:B1415"/>
    <mergeCell ref="A1434:B1434"/>
    <mergeCell ref="A1435:B1435"/>
    <mergeCell ref="A1087:B1087"/>
    <mergeCell ref="A1088:B1088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82:B1082"/>
    <mergeCell ref="A1083:B1083"/>
    <mergeCell ref="A1084:B1084"/>
    <mergeCell ref="A1085:B1085"/>
    <mergeCell ref="A1086:B1086"/>
    <mergeCell ref="A1077:B1077"/>
    <mergeCell ref="A1078:B1078"/>
    <mergeCell ref="A1079:B1079"/>
    <mergeCell ref="A1080:B1080"/>
    <mergeCell ref="A1081:B1081"/>
    <mergeCell ref="A1072:B1072"/>
    <mergeCell ref="A1073:B1073"/>
    <mergeCell ref="A1074:B1074"/>
    <mergeCell ref="A1075:B1075"/>
    <mergeCell ref="A1076:B1076"/>
    <mergeCell ref="A1101:B1101"/>
    <mergeCell ref="A1102:B1102"/>
    <mergeCell ref="A1103:B1103"/>
    <mergeCell ref="A1104:B1104"/>
    <mergeCell ref="A1105:B1105"/>
    <mergeCell ref="A1119:B1119"/>
    <mergeCell ref="A1120:B1120"/>
    <mergeCell ref="A1121:B1121"/>
    <mergeCell ref="A1122:B1122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37:B1137"/>
    <mergeCell ref="A1138:B1138"/>
    <mergeCell ref="A1139:B1139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55:B1155"/>
    <mergeCell ref="A1156:B1156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50:B1150"/>
    <mergeCell ref="A1151:B1151"/>
    <mergeCell ref="A1152:B1152"/>
    <mergeCell ref="A1153:B1153"/>
    <mergeCell ref="A1154:B1154"/>
    <mergeCell ref="A1145:B1145"/>
    <mergeCell ref="A1146:B1146"/>
    <mergeCell ref="A1147:B1147"/>
    <mergeCell ref="A1148:B1148"/>
    <mergeCell ref="A1149:B1149"/>
    <mergeCell ref="A1140:B1140"/>
    <mergeCell ref="A1141:B1141"/>
    <mergeCell ref="A1142:B1142"/>
    <mergeCell ref="A1143:B1143"/>
    <mergeCell ref="A1144:B1144"/>
    <mergeCell ref="A1169:B1169"/>
    <mergeCell ref="A1170:B1170"/>
    <mergeCell ref="A1171:B1171"/>
    <mergeCell ref="A1172:B1172"/>
    <mergeCell ref="A1173:B1173"/>
    <mergeCell ref="A1187:B1187"/>
    <mergeCell ref="A1188:B1188"/>
    <mergeCell ref="A1189:B1189"/>
    <mergeCell ref="A1190:B1190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205:B1205"/>
    <mergeCell ref="A1206:B1206"/>
    <mergeCell ref="A1207:B1207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223:B1223"/>
    <mergeCell ref="A1224:B1224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18:B1218"/>
    <mergeCell ref="A1219:B1219"/>
    <mergeCell ref="A1220:B1220"/>
    <mergeCell ref="A1221:B1221"/>
    <mergeCell ref="A1222:B1222"/>
    <mergeCell ref="A1213:B1213"/>
    <mergeCell ref="A1214:B1214"/>
    <mergeCell ref="A1215:B1215"/>
    <mergeCell ref="A1216:B1216"/>
    <mergeCell ref="A1217:B1217"/>
    <mergeCell ref="A1208:B1208"/>
    <mergeCell ref="A1209:B1209"/>
    <mergeCell ref="A1210:B1210"/>
    <mergeCell ref="A1211:B1211"/>
    <mergeCell ref="A1212:B1212"/>
    <mergeCell ref="A1237:B1237"/>
    <mergeCell ref="A1238:B1238"/>
    <mergeCell ref="A1239:B1239"/>
    <mergeCell ref="A1240:B1240"/>
    <mergeCell ref="A1241:B1241"/>
    <mergeCell ref="A1255:B1255"/>
    <mergeCell ref="A1256:B1256"/>
    <mergeCell ref="A1257:B1257"/>
    <mergeCell ref="A1258:B1258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73:B1273"/>
    <mergeCell ref="A1274:B1274"/>
    <mergeCell ref="A1275:B1275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91:B1291"/>
    <mergeCell ref="A1292:B1292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86:B1286"/>
    <mergeCell ref="A1287:B1287"/>
    <mergeCell ref="A1288:B1288"/>
    <mergeCell ref="A1289:B1289"/>
    <mergeCell ref="A1290:B1290"/>
    <mergeCell ref="A1281:B1281"/>
    <mergeCell ref="A1282:B1282"/>
    <mergeCell ref="A1283:B1283"/>
    <mergeCell ref="A1284:B1284"/>
    <mergeCell ref="A1285:B1285"/>
    <mergeCell ref="A1276:B1276"/>
    <mergeCell ref="A1277:B1277"/>
    <mergeCell ref="A1278:B1278"/>
    <mergeCell ref="A1279:B1279"/>
    <mergeCell ref="A1280:B1280"/>
    <mergeCell ref="A1305:B1305"/>
    <mergeCell ref="A1306:B1306"/>
    <mergeCell ref="A1307:B1307"/>
    <mergeCell ref="A1308:B1308"/>
    <mergeCell ref="A1309:B1309"/>
    <mergeCell ref="A1323:B1323"/>
    <mergeCell ref="A1324:B1324"/>
    <mergeCell ref="A1325:B1325"/>
    <mergeCell ref="A1326:B1326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41:B1341"/>
    <mergeCell ref="A1342:B1342"/>
    <mergeCell ref="A1343:B1343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59:B1359"/>
    <mergeCell ref="A1360:B1360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66:B1366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61:B1361"/>
    <mergeCell ref="A1362:B1362"/>
    <mergeCell ref="A1363:B1363"/>
    <mergeCell ref="A1364:B1364"/>
    <mergeCell ref="A1365:B13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41"/>
  <sheetViews>
    <sheetView tabSelected="1" topLeftCell="A343" workbookViewId="0">
      <selection activeCell="F361" sqref="F361"/>
    </sheetView>
  </sheetViews>
  <sheetFormatPr defaultRowHeight="13.2" x14ac:dyDescent="0.25"/>
  <cols>
    <col min="1" max="1" width="12" customWidth="1"/>
    <col min="2" max="3" width="14" customWidth="1"/>
    <col min="4" max="4" width="42" customWidth="1"/>
    <col min="5" max="5" width="14" customWidth="1"/>
    <col min="6" max="6" width="12" customWidth="1"/>
    <col min="7" max="7" width="14" customWidth="1"/>
    <col min="8" max="8" width="8" customWidth="1"/>
    <col min="9" max="9" width="10" customWidth="1"/>
    <col min="10" max="10" width="14" customWidth="1"/>
    <col min="11" max="11" width="24" customWidth="1"/>
  </cols>
  <sheetData>
    <row r="1" spans="1:11" ht="26.4" x14ac:dyDescent="0.25">
      <c r="A1" s="22" t="s">
        <v>747</v>
      </c>
      <c r="B1" s="22" t="s">
        <v>748</v>
      </c>
      <c r="C1" s="22" t="s">
        <v>749</v>
      </c>
      <c r="D1" s="22" t="s">
        <v>750</v>
      </c>
      <c r="E1" s="22" t="s">
        <v>751</v>
      </c>
      <c r="F1" s="22" t="s">
        <v>752</v>
      </c>
      <c r="G1" s="22" t="s">
        <v>753</v>
      </c>
      <c r="H1" s="22" t="s">
        <v>754</v>
      </c>
      <c r="I1" s="22" t="s">
        <v>755</v>
      </c>
      <c r="J1" s="22" t="s">
        <v>756</v>
      </c>
      <c r="K1" s="22" t="s">
        <v>757</v>
      </c>
    </row>
    <row r="2" spans="1:11" x14ac:dyDescent="0.25">
      <c r="A2" s="23" t="s">
        <v>758</v>
      </c>
      <c r="B2" s="23">
        <v>12</v>
      </c>
      <c r="C2" s="23">
        <v>13</v>
      </c>
      <c r="D2" s="23" t="s">
        <v>5</v>
      </c>
      <c r="E2" s="24">
        <v>32.49</v>
      </c>
      <c r="F2" s="25">
        <v>1</v>
      </c>
      <c r="G2" s="24">
        <f t="shared" ref="G2:G65" si="0">IFERROR(E2/F2,"")</f>
        <v>32.49</v>
      </c>
      <c r="H2" s="23" t="s">
        <v>759</v>
      </c>
      <c r="I2" s="23" t="s">
        <v>760</v>
      </c>
      <c r="J2" s="23" t="str">
        <f t="shared" ref="J2:J65" si="1">IF(OR(E2="",F2=""),"LIPSESC DATE",IF(F2=0,"CANTITATE 0","OK"))</f>
        <v>OK</v>
      </c>
      <c r="K2" s="23"/>
    </row>
    <row r="3" spans="1:11" x14ac:dyDescent="0.25">
      <c r="A3" s="23" t="s">
        <v>761</v>
      </c>
      <c r="B3" s="23">
        <v>14</v>
      </c>
      <c r="C3" s="23">
        <v>15</v>
      </c>
      <c r="D3" s="23" t="s">
        <v>6</v>
      </c>
      <c r="E3" s="24">
        <v>355.1</v>
      </c>
      <c r="F3" s="25">
        <v>24</v>
      </c>
      <c r="G3" s="24">
        <f t="shared" si="0"/>
        <v>14.795833333333334</v>
      </c>
      <c r="H3" s="23" t="s">
        <v>759</v>
      </c>
      <c r="I3" s="23" t="s">
        <v>760</v>
      </c>
      <c r="J3" s="23" t="str">
        <f t="shared" si="1"/>
        <v>OK</v>
      </c>
      <c r="K3" s="23"/>
    </row>
    <row r="4" spans="1:11" x14ac:dyDescent="0.25">
      <c r="A4" s="23" t="s">
        <v>762</v>
      </c>
      <c r="B4" s="23">
        <v>16</v>
      </c>
      <c r="C4" s="23">
        <v>17</v>
      </c>
      <c r="D4" s="23" t="s">
        <v>7</v>
      </c>
      <c r="E4" s="24">
        <v>2113.04</v>
      </c>
      <c r="F4" s="25">
        <v>192</v>
      </c>
      <c r="G4" s="24">
        <f t="shared" si="0"/>
        <v>11.005416666666667</v>
      </c>
      <c r="H4" s="23" t="s">
        <v>759</v>
      </c>
      <c r="I4" s="23" t="s">
        <v>760</v>
      </c>
      <c r="J4" s="23" t="str">
        <f t="shared" si="1"/>
        <v>OK</v>
      </c>
      <c r="K4" s="23"/>
    </row>
    <row r="5" spans="1:11" x14ac:dyDescent="0.25">
      <c r="A5" s="23" t="s">
        <v>763</v>
      </c>
      <c r="B5" s="23">
        <v>18</v>
      </c>
      <c r="C5" s="23">
        <v>19</v>
      </c>
      <c r="D5" s="23" t="s">
        <v>8</v>
      </c>
      <c r="E5" s="24">
        <v>710.2</v>
      </c>
      <c r="F5" s="25">
        <v>48</v>
      </c>
      <c r="G5" s="24">
        <f t="shared" si="0"/>
        <v>14.795833333333334</v>
      </c>
      <c r="H5" s="23" t="s">
        <v>759</v>
      </c>
      <c r="I5" s="23" t="s">
        <v>760</v>
      </c>
      <c r="J5" s="23" t="str">
        <f t="shared" si="1"/>
        <v>OK</v>
      </c>
      <c r="K5" s="23"/>
    </row>
    <row r="6" spans="1:11" x14ac:dyDescent="0.25">
      <c r="A6" s="23" t="s">
        <v>764</v>
      </c>
      <c r="B6" s="23">
        <v>20</v>
      </c>
      <c r="C6" s="23">
        <v>21</v>
      </c>
      <c r="D6" s="23" t="s">
        <v>9</v>
      </c>
      <c r="E6" s="24">
        <v>537.58000000000004</v>
      </c>
      <c r="F6" s="25">
        <v>48</v>
      </c>
      <c r="G6" s="24">
        <f t="shared" si="0"/>
        <v>11.199583333333335</v>
      </c>
      <c r="H6" s="23" t="s">
        <v>759</v>
      </c>
      <c r="I6" s="23" t="s">
        <v>760</v>
      </c>
      <c r="J6" s="23" t="str">
        <f t="shared" si="1"/>
        <v>OK</v>
      </c>
      <c r="K6" s="23"/>
    </row>
    <row r="7" spans="1:11" x14ac:dyDescent="0.25">
      <c r="A7" s="23" t="s">
        <v>765</v>
      </c>
      <c r="B7" s="23">
        <v>22</v>
      </c>
      <c r="C7" s="23">
        <v>23</v>
      </c>
      <c r="D7" s="23" t="s">
        <v>10</v>
      </c>
      <c r="E7" s="24">
        <v>235.09</v>
      </c>
      <c r="F7" s="25">
        <v>24</v>
      </c>
      <c r="G7" s="24">
        <f t="shared" si="0"/>
        <v>9.7954166666666662</v>
      </c>
      <c r="H7" s="23" t="s">
        <v>759</v>
      </c>
      <c r="I7" s="23" t="s">
        <v>760</v>
      </c>
      <c r="J7" s="23" t="str">
        <f t="shared" si="1"/>
        <v>OK</v>
      </c>
      <c r="K7" s="23"/>
    </row>
    <row r="8" spans="1:11" x14ac:dyDescent="0.25">
      <c r="A8" s="23" t="s">
        <v>766</v>
      </c>
      <c r="B8" s="23">
        <v>24</v>
      </c>
      <c r="C8" s="23">
        <v>25</v>
      </c>
      <c r="D8" s="23" t="s">
        <v>11</v>
      </c>
      <c r="E8" s="24">
        <v>283.31</v>
      </c>
      <c r="F8" s="25">
        <v>24</v>
      </c>
      <c r="G8" s="24">
        <f t="shared" si="0"/>
        <v>11.804583333333333</v>
      </c>
      <c r="H8" s="23" t="s">
        <v>759</v>
      </c>
      <c r="I8" s="23" t="s">
        <v>760</v>
      </c>
      <c r="J8" s="23" t="str">
        <f t="shared" si="1"/>
        <v>OK</v>
      </c>
      <c r="K8" s="23"/>
    </row>
    <row r="9" spans="1:11" ht="26.4" x14ac:dyDescent="0.25">
      <c r="A9" s="23" t="s">
        <v>767</v>
      </c>
      <c r="B9" s="23">
        <v>26</v>
      </c>
      <c r="C9" s="23">
        <v>27</v>
      </c>
      <c r="D9" s="23" t="s">
        <v>12</v>
      </c>
      <c r="E9" s="24">
        <v>2202.21</v>
      </c>
      <c r="F9" s="25">
        <v>216</v>
      </c>
      <c r="G9" s="24">
        <f t="shared" si="0"/>
        <v>10.195416666666667</v>
      </c>
      <c r="H9" s="23" t="s">
        <v>759</v>
      </c>
      <c r="I9" s="23" t="s">
        <v>760</v>
      </c>
      <c r="J9" s="23" t="str">
        <f t="shared" si="1"/>
        <v>OK</v>
      </c>
      <c r="K9" s="23"/>
    </row>
    <row r="10" spans="1:11" x14ac:dyDescent="0.25">
      <c r="A10" s="23" t="s">
        <v>768</v>
      </c>
      <c r="B10" s="23">
        <v>28</v>
      </c>
      <c r="C10" s="23">
        <v>29</v>
      </c>
      <c r="D10" s="23" t="s">
        <v>13</v>
      </c>
      <c r="E10" s="24">
        <v>283.31</v>
      </c>
      <c r="F10" s="25">
        <v>24</v>
      </c>
      <c r="G10" s="24">
        <f t="shared" si="0"/>
        <v>11.804583333333333</v>
      </c>
      <c r="H10" s="23" t="s">
        <v>759</v>
      </c>
      <c r="I10" s="23" t="s">
        <v>760</v>
      </c>
      <c r="J10" s="23" t="str">
        <f t="shared" si="1"/>
        <v>OK</v>
      </c>
      <c r="K10" s="23"/>
    </row>
    <row r="11" spans="1:11" x14ac:dyDescent="0.25">
      <c r="A11" s="23" t="s">
        <v>769</v>
      </c>
      <c r="B11" s="23">
        <v>30</v>
      </c>
      <c r="C11" s="23">
        <v>31</v>
      </c>
      <c r="D11" s="23" t="s">
        <v>14</v>
      </c>
      <c r="E11" s="24">
        <v>734.07</v>
      </c>
      <c r="F11" s="25">
        <v>72</v>
      </c>
      <c r="G11" s="24">
        <f t="shared" si="0"/>
        <v>10.195416666666667</v>
      </c>
      <c r="H11" s="23" t="s">
        <v>759</v>
      </c>
      <c r="I11" s="23" t="s">
        <v>760</v>
      </c>
      <c r="J11" s="23" t="str">
        <f t="shared" si="1"/>
        <v>OK</v>
      </c>
      <c r="K11" s="23"/>
    </row>
    <row r="12" spans="1:11" x14ac:dyDescent="0.25">
      <c r="A12" s="23" t="s">
        <v>770</v>
      </c>
      <c r="B12" s="23">
        <v>32</v>
      </c>
      <c r="C12" s="23">
        <v>33</v>
      </c>
      <c r="D12" s="23" t="s">
        <v>15</v>
      </c>
      <c r="E12" s="24">
        <v>244.69</v>
      </c>
      <c r="F12" s="25">
        <v>24</v>
      </c>
      <c r="G12" s="24">
        <f t="shared" si="0"/>
        <v>10.195416666666667</v>
      </c>
      <c r="H12" s="23" t="s">
        <v>759</v>
      </c>
      <c r="I12" s="23" t="s">
        <v>760</v>
      </c>
      <c r="J12" s="23" t="str">
        <f t="shared" si="1"/>
        <v>OK</v>
      </c>
      <c r="K12" s="23"/>
    </row>
    <row r="13" spans="1:11" x14ac:dyDescent="0.25">
      <c r="A13" s="23" t="s">
        <v>771</v>
      </c>
      <c r="B13" s="23">
        <v>34</v>
      </c>
      <c r="C13" s="23">
        <v>35</v>
      </c>
      <c r="D13" s="23" t="s">
        <v>16</v>
      </c>
      <c r="E13" s="24">
        <v>335.92</v>
      </c>
      <c r="F13" s="25">
        <v>24</v>
      </c>
      <c r="G13" s="24">
        <f t="shared" si="0"/>
        <v>13.996666666666668</v>
      </c>
      <c r="H13" s="23" t="s">
        <v>759</v>
      </c>
      <c r="I13" s="23" t="s">
        <v>760</v>
      </c>
      <c r="J13" s="23" t="str">
        <f t="shared" si="1"/>
        <v>OK</v>
      </c>
      <c r="K13" s="23"/>
    </row>
    <row r="14" spans="1:11" x14ac:dyDescent="0.25">
      <c r="A14" s="23" t="s">
        <v>772</v>
      </c>
      <c r="B14" s="23">
        <v>36</v>
      </c>
      <c r="C14" s="23">
        <v>37</v>
      </c>
      <c r="D14" s="23" t="s">
        <v>17</v>
      </c>
      <c r="E14" s="24">
        <v>335.92</v>
      </c>
      <c r="F14" s="25">
        <v>24</v>
      </c>
      <c r="G14" s="24">
        <f t="shared" si="0"/>
        <v>13.996666666666668</v>
      </c>
      <c r="H14" s="23" t="s">
        <v>759</v>
      </c>
      <c r="I14" s="23" t="s">
        <v>760</v>
      </c>
      <c r="J14" s="23" t="str">
        <f t="shared" si="1"/>
        <v>OK</v>
      </c>
      <c r="K14" s="23"/>
    </row>
    <row r="15" spans="1:11" x14ac:dyDescent="0.25">
      <c r="A15" s="23" t="s">
        <v>773</v>
      </c>
      <c r="B15" s="23">
        <v>38</v>
      </c>
      <c r="C15" s="23">
        <v>39</v>
      </c>
      <c r="D15" s="23" t="s">
        <v>18</v>
      </c>
      <c r="E15" s="24">
        <v>278.38</v>
      </c>
      <c r="F15" s="25">
        <v>24</v>
      </c>
      <c r="G15" s="24">
        <f t="shared" si="0"/>
        <v>11.599166666666667</v>
      </c>
      <c r="H15" s="23" t="s">
        <v>759</v>
      </c>
      <c r="I15" s="23" t="s">
        <v>760</v>
      </c>
      <c r="J15" s="23" t="str">
        <f t="shared" si="1"/>
        <v>OK</v>
      </c>
      <c r="K15" s="23"/>
    </row>
    <row r="16" spans="1:11" x14ac:dyDescent="0.25">
      <c r="A16" s="23" t="s">
        <v>774</v>
      </c>
      <c r="B16" s="23">
        <v>40</v>
      </c>
      <c r="C16" s="23">
        <v>41</v>
      </c>
      <c r="D16" s="23" t="s">
        <v>19</v>
      </c>
      <c r="E16" s="24">
        <v>367.02</v>
      </c>
      <c r="F16" s="25">
        <v>36</v>
      </c>
      <c r="G16" s="24">
        <f t="shared" si="0"/>
        <v>10.195</v>
      </c>
      <c r="H16" s="23" t="s">
        <v>759</v>
      </c>
      <c r="I16" s="23" t="s">
        <v>760</v>
      </c>
      <c r="J16" s="23" t="str">
        <f t="shared" si="1"/>
        <v>OK</v>
      </c>
      <c r="K16" s="23"/>
    </row>
    <row r="17" spans="1:11" x14ac:dyDescent="0.25">
      <c r="A17" s="23" t="s">
        <v>775</v>
      </c>
      <c r="B17" s="23">
        <v>42</v>
      </c>
      <c r="C17" s="23">
        <v>43</v>
      </c>
      <c r="D17" s="23" t="s">
        <v>20</v>
      </c>
      <c r="E17" s="24">
        <v>734.07</v>
      </c>
      <c r="F17" s="25">
        <v>72</v>
      </c>
      <c r="G17" s="24">
        <f t="shared" si="0"/>
        <v>10.195416666666667</v>
      </c>
      <c r="H17" s="23" t="s">
        <v>759</v>
      </c>
      <c r="I17" s="23" t="s">
        <v>760</v>
      </c>
      <c r="J17" s="23" t="str">
        <f t="shared" si="1"/>
        <v>OK</v>
      </c>
      <c r="K17" s="23"/>
    </row>
    <row r="18" spans="1:11" x14ac:dyDescent="0.25">
      <c r="A18" s="23" t="s">
        <v>776</v>
      </c>
      <c r="B18" s="23">
        <v>44</v>
      </c>
      <c r="C18" s="23">
        <v>45</v>
      </c>
      <c r="D18" s="23" t="s">
        <v>21</v>
      </c>
      <c r="E18" s="24">
        <v>367.02</v>
      </c>
      <c r="F18" s="25">
        <v>36</v>
      </c>
      <c r="G18" s="24">
        <f t="shared" si="0"/>
        <v>10.195</v>
      </c>
      <c r="H18" s="23" t="s">
        <v>759</v>
      </c>
      <c r="I18" s="23" t="s">
        <v>760</v>
      </c>
      <c r="J18" s="23" t="str">
        <f t="shared" si="1"/>
        <v>OK</v>
      </c>
      <c r="K18" s="23"/>
    </row>
    <row r="19" spans="1:11" x14ac:dyDescent="0.25">
      <c r="A19" s="23" t="s">
        <v>777</v>
      </c>
      <c r="B19" s="23">
        <v>46</v>
      </c>
      <c r="C19" s="23">
        <v>47</v>
      </c>
      <c r="D19" s="23" t="s">
        <v>22</v>
      </c>
      <c r="E19" s="24">
        <v>528.26</v>
      </c>
      <c r="F19" s="25">
        <v>48</v>
      </c>
      <c r="G19" s="24">
        <f t="shared" si="0"/>
        <v>11.005416666666667</v>
      </c>
      <c r="H19" s="23" t="s">
        <v>759</v>
      </c>
      <c r="I19" s="23" t="s">
        <v>760</v>
      </c>
      <c r="J19" s="23" t="str">
        <f t="shared" si="1"/>
        <v>OK</v>
      </c>
      <c r="K19" s="23"/>
    </row>
    <row r="20" spans="1:11" x14ac:dyDescent="0.25">
      <c r="A20" s="23" t="s">
        <v>778</v>
      </c>
      <c r="B20" s="23">
        <v>48</v>
      </c>
      <c r="C20" s="23">
        <v>49</v>
      </c>
      <c r="D20" s="23" t="s">
        <v>23</v>
      </c>
      <c r="E20" s="24">
        <v>287.97000000000003</v>
      </c>
      <c r="F20" s="25">
        <v>24</v>
      </c>
      <c r="G20" s="24">
        <f t="shared" si="0"/>
        <v>11.998750000000001</v>
      </c>
      <c r="H20" s="23" t="s">
        <v>759</v>
      </c>
      <c r="I20" s="23" t="s">
        <v>760</v>
      </c>
      <c r="J20" s="23" t="str">
        <f t="shared" si="1"/>
        <v>OK</v>
      </c>
      <c r="K20" s="23"/>
    </row>
    <row r="21" spans="1:11" x14ac:dyDescent="0.25">
      <c r="A21" s="23" t="s">
        <v>779</v>
      </c>
      <c r="B21" s="23">
        <v>50</v>
      </c>
      <c r="C21" s="23">
        <v>51</v>
      </c>
      <c r="D21" s="23" t="s">
        <v>24</v>
      </c>
      <c r="E21" s="24">
        <v>528.26</v>
      </c>
      <c r="F21" s="25">
        <v>48</v>
      </c>
      <c r="G21" s="24">
        <f t="shared" si="0"/>
        <v>11.005416666666667</v>
      </c>
      <c r="H21" s="23" t="s">
        <v>759</v>
      </c>
      <c r="I21" s="23" t="s">
        <v>760</v>
      </c>
      <c r="J21" s="23" t="str">
        <f t="shared" si="1"/>
        <v>OK</v>
      </c>
      <c r="K21" s="23"/>
    </row>
    <row r="22" spans="1:11" x14ac:dyDescent="0.25">
      <c r="A22" s="23" t="s">
        <v>780</v>
      </c>
      <c r="B22" s="23">
        <v>52</v>
      </c>
      <c r="C22" s="23">
        <v>53</v>
      </c>
      <c r="D22" s="23" t="s">
        <v>25</v>
      </c>
      <c r="E22" s="24">
        <v>528.26</v>
      </c>
      <c r="F22" s="25">
        <v>48</v>
      </c>
      <c r="G22" s="24">
        <f t="shared" si="0"/>
        <v>11.005416666666667</v>
      </c>
      <c r="H22" s="23" t="s">
        <v>759</v>
      </c>
      <c r="I22" s="23" t="s">
        <v>760</v>
      </c>
      <c r="J22" s="23" t="str">
        <f t="shared" si="1"/>
        <v>OK</v>
      </c>
      <c r="K22" s="23"/>
    </row>
    <row r="23" spans="1:11" x14ac:dyDescent="0.25">
      <c r="A23" s="23" t="s">
        <v>781</v>
      </c>
      <c r="B23" s="23">
        <v>54</v>
      </c>
      <c r="C23" s="23">
        <v>55</v>
      </c>
      <c r="D23" s="23" t="s">
        <v>26</v>
      </c>
      <c r="E23" s="24">
        <v>528.24</v>
      </c>
      <c r="F23" s="25">
        <v>48</v>
      </c>
      <c r="G23" s="24">
        <f t="shared" si="0"/>
        <v>11.005000000000001</v>
      </c>
      <c r="H23" s="23" t="s">
        <v>759</v>
      </c>
      <c r="I23" s="23" t="s">
        <v>760</v>
      </c>
      <c r="J23" s="23" t="str">
        <f t="shared" si="1"/>
        <v>OK</v>
      </c>
      <c r="K23" s="23"/>
    </row>
    <row r="24" spans="1:11" x14ac:dyDescent="0.25">
      <c r="A24" s="23" t="s">
        <v>782</v>
      </c>
      <c r="B24" s="23">
        <v>56</v>
      </c>
      <c r="C24" s="23">
        <v>57</v>
      </c>
      <c r="D24" s="23" t="s">
        <v>27</v>
      </c>
      <c r="E24" s="24">
        <v>1524.1</v>
      </c>
      <c r="F24" s="25">
        <v>120</v>
      </c>
      <c r="G24" s="24">
        <f t="shared" si="0"/>
        <v>12.700833333333332</v>
      </c>
      <c r="H24" s="23" t="s">
        <v>759</v>
      </c>
      <c r="I24" s="23" t="s">
        <v>760</v>
      </c>
      <c r="J24" s="23" t="str">
        <f t="shared" si="1"/>
        <v>OK</v>
      </c>
      <c r="K24" s="23"/>
    </row>
    <row r="25" spans="1:11" x14ac:dyDescent="0.25">
      <c r="A25" s="23" t="s">
        <v>783</v>
      </c>
      <c r="B25" s="23">
        <v>58</v>
      </c>
      <c r="C25" s="23">
        <v>59</v>
      </c>
      <c r="D25" s="23" t="s">
        <v>28</v>
      </c>
      <c r="E25" s="24">
        <v>379.21</v>
      </c>
      <c r="F25" s="25">
        <v>24</v>
      </c>
      <c r="G25" s="24">
        <f t="shared" si="0"/>
        <v>15.800416666666665</v>
      </c>
      <c r="H25" s="23" t="s">
        <v>759</v>
      </c>
      <c r="I25" s="23" t="s">
        <v>760</v>
      </c>
      <c r="J25" s="23" t="str">
        <f t="shared" si="1"/>
        <v>OK</v>
      </c>
      <c r="K25" s="23"/>
    </row>
    <row r="26" spans="1:11" x14ac:dyDescent="0.25">
      <c r="A26" s="23" t="s">
        <v>784</v>
      </c>
      <c r="B26" s="23">
        <v>60</v>
      </c>
      <c r="C26" s="23">
        <v>61</v>
      </c>
      <c r="D26" s="23" t="s">
        <v>29</v>
      </c>
      <c r="E26" s="24">
        <v>609.64</v>
      </c>
      <c r="F26" s="25">
        <v>48</v>
      </c>
      <c r="G26" s="24">
        <f t="shared" si="0"/>
        <v>12.700833333333334</v>
      </c>
      <c r="H26" s="23" t="s">
        <v>759</v>
      </c>
      <c r="I26" s="23" t="s">
        <v>760</v>
      </c>
      <c r="J26" s="23" t="str">
        <f t="shared" si="1"/>
        <v>OK</v>
      </c>
      <c r="K26" s="23"/>
    </row>
    <row r="27" spans="1:11" x14ac:dyDescent="0.25">
      <c r="A27" s="23" t="s">
        <v>785</v>
      </c>
      <c r="B27" s="23">
        <v>62</v>
      </c>
      <c r="C27" s="23">
        <v>63</v>
      </c>
      <c r="D27" s="23" t="s">
        <v>30</v>
      </c>
      <c r="E27" s="24">
        <v>264.13</v>
      </c>
      <c r="F27" s="25">
        <v>24</v>
      </c>
      <c r="G27" s="24">
        <f t="shared" si="0"/>
        <v>11.005416666666667</v>
      </c>
      <c r="H27" s="23" t="s">
        <v>759</v>
      </c>
      <c r="I27" s="23" t="s">
        <v>760</v>
      </c>
      <c r="J27" s="23" t="str">
        <f t="shared" si="1"/>
        <v>OK</v>
      </c>
      <c r="K27" s="23"/>
    </row>
    <row r="28" spans="1:11" x14ac:dyDescent="0.25">
      <c r="A28" s="23" t="s">
        <v>786</v>
      </c>
      <c r="B28" s="23">
        <v>64</v>
      </c>
      <c r="C28" s="23">
        <v>65</v>
      </c>
      <c r="D28" s="23" t="s">
        <v>31</v>
      </c>
      <c r="E28" s="24">
        <v>1080.0899999999999</v>
      </c>
      <c r="F28" s="25">
        <v>72</v>
      </c>
      <c r="G28" s="24">
        <f t="shared" si="0"/>
        <v>15.001249999999999</v>
      </c>
      <c r="H28" s="23" t="s">
        <v>759</v>
      </c>
      <c r="I28" s="23" t="s">
        <v>760</v>
      </c>
      <c r="J28" s="23" t="str">
        <f t="shared" si="1"/>
        <v>OK</v>
      </c>
      <c r="K28" s="23"/>
    </row>
    <row r="29" spans="1:11" ht="26.4" x14ac:dyDescent="0.25">
      <c r="A29" s="23" t="s">
        <v>787</v>
      </c>
      <c r="B29" s="23">
        <v>66</v>
      </c>
      <c r="C29" s="23">
        <v>67</v>
      </c>
      <c r="D29" s="23" t="s">
        <v>32</v>
      </c>
      <c r="E29" s="24">
        <v>3697.82</v>
      </c>
      <c r="F29" s="25">
        <v>336</v>
      </c>
      <c r="G29" s="24">
        <f t="shared" si="0"/>
        <v>11.005416666666667</v>
      </c>
      <c r="H29" s="23" t="s">
        <v>759</v>
      </c>
      <c r="I29" s="23" t="s">
        <v>760</v>
      </c>
      <c r="J29" s="23" t="str">
        <f t="shared" si="1"/>
        <v>OK</v>
      </c>
      <c r="K29" s="23"/>
    </row>
    <row r="30" spans="1:11" x14ac:dyDescent="0.25">
      <c r="A30" s="23" t="s">
        <v>788</v>
      </c>
      <c r="B30" s="23">
        <v>68</v>
      </c>
      <c r="C30" s="23">
        <v>69</v>
      </c>
      <c r="D30" s="23" t="s">
        <v>33</v>
      </c>
      <c r="E30" s="24">
        <v>264.13</v>
      </c>
      <c r="F30" s="25">
        <v>24</v>
      </c>
      <c r="G30" s="24">
        <f t="shared" si="0"/>
        <v>11.005416666666667</v>
      </c>
      <c r="H30" s="23" t="s">
        <v>759</v>
      </c>
      <c r="I30" s="23" t="s">
        <v>760</v>
      </c>
      <c r="J30" s="23" t="str">
        <f t="shared" si="1"/>
        <v>OK</v>
      </c>
      <c r="K30" s="23"/>
    </row>
    <row r="31" spans="1:11" x14ac:dyDescent="0.25">
      <c r="A31" s="23" t="s">
        <v>789</v>
      </c>
      <c r="B31" s="23">
        <v>70</v>
      </c>
      <c r="C31" s="23">
        <v>71</v>
      </c>
      <c r="D31" s="23" t="s">
        <v>34</v>
      </c>
      <c r="E31" s="24">
        <v>1919.35</v>
      </c>
      <c r="F31" s="25">
        <v>120</v>
      </c>
      <c r="G31" s="24">
        <f t="shared" si="0"/>
        <v>15.994583333333333</v>
      </c>
      <c r="H31" s="23" t="s">
        <v>759</v>
      </c>
      <c r="I31" s="23" t="s">
        <v>760</v>
      </c>
      <c r="J31" s="23" t="str">
        <f t="shared" si="1"/>
        <v>OK</v>
      </c>
      <c r="K31" s="23"/>
    </row>
    <row r="32" spans="1:11" x14ac:dyDescent="0.25">
      <c r="A32" s="23" t="s">
        <v>790</v>
      </c>
      <c r="B32" s="23">
        <v>72</v>
      </c>
      <c r="C32" s="23">
        <v>73</v>
      </c>
      <c r="D32" s="23" t="s">
        <v>35</v>
      </c>
      <c r="E32" s="24">
        <v>287.98</v>
      </c>
      <c r="F32" s="25">
        <v>24</v>
      </c>
      <c r="G32" s="24">
        <f t="shared" si="0"/>
        <v>11.999166666666667</v>
      </c>
      <c r="H32" s="23" t="s">
        <v>759</v>
      </c>
      <c r="I32" s="23" t="s">
        <v>760</v>
      </c>
      <c r="J32" s="23" t="str">
        <f t="shared" si="1"/>
        <v>OK</v>
      </c>
      <c r="K32" s="23"/>
    </row>
    <row r="33" spans="1:11" x14ac:dyDescent="0.25">
      <c r="A33" s="23" t="s">
        <v>791</v>
      </c>
      <c r="B33" s="23">
        <v>74</v>
      </c>
      <c r="C33" s="23">
        <v>75</v>
      </c>
      <c r="D33" s="23" t="s">
        <v>36</v>
      </c>
      <c r="E33" s="24">
        <v>287.98</v>
      </c>
      <c r="F33" s="25">
        <v>24</v>
      </c>
      <c r="G33" s="24">
        <f t="shared" si="0"/>
        <v>11.999166666666667</v>
      </c>
      <c r="H33" s="23" t="s">
        <v>759</v>
      </c>
      <c r="I33" s="23" t="s">
        <v>760</v>
      </c>
      <c r="J33" s="23" t="str">
        <f t="shared" si="1"/>
        <v>OK</v>
      </c>
      <c r="K33" s="23"/>
    </row>
    <row r="34" spans="1:11" x14ac:dyDescent="0.25">
      <c r="A34" s="23" t="s">
        <v>792</v>
      </c>
      <c r="B34" s="23">
        <v>76</v>
      </c>
      <c r="C34" s="23">
        <v>77</v>
      </c>
      <c r="D34" s="23" t="s">
        <v>37</v>
      </c>
      <c r="E34" s="24">
        <v>185.98</v>
      </c>
      <c r="F34" s="25">
        <v>12</v>
      </c>
      <c r="G34" s="24">
        <f t="shared" si="0"/>
        <v>15.498333333333333</v>
      </c>
      <c r="H34" s="23" t="s">
        <v>759</v>
      </c>
      <c r="I34" s="23" t="s">
        <v>760</v>
      </c>
      <c r="J34" s="23" t="str">
        <f t="shared" si="1"/>
        <v>OK</v>
      </c>
      <c r="K34" s="23"/>
    </row>
    <row r="35" spans="1:11" x14ac:dyDescent="0.25">
      <c r="A35" s="23" t="s">
        <v>793</v>
      </c>
      <c r="B35" s="23">
        <v>78</v>
      </c>
      <c r="C35" s="23">
        <v>79</v>
      </c>
      <c r="D35" s="23" t="s">
        <v>38</v>
      </c>
      <c r="E35" s="24">
        <v>1151.8800000000001</v>
      </c>
      <c r="F35" s="25">
        <v>96</v>
      </c>
      <c r="G35" s="24">
        <f t="shared" si="0"/>
        <v>11.998750000000001</v>
      </c>
      <c r="H35" s="23" t="s">
        <v>759</v>
      </c>
      <c r="I35" s="23" t="s">
        <v>760</v>
      </c>
      <c r="J35" s="23" t="str">
        <f t="shared" si="1"/>
        <v>OK</v>
      </c>
      <c r="K35" s="23"/>
    </row>
    <row r="36" spans="1:11" x14ac:dyDescent="0.25">
      <c r="A36" s="23" t="s">
        <v>794</v>
      </c>
      <c r="B36" s="23">
        <v>80</v>
      </c>
      <c r="C36" s="23">
        <v>81</v>
      </c>
      <c r="D36" s="23" t="s">
        <v>39</v>
      </c>
      <c r="E36" s="24">
        <v>264.13</v>
      </c>
      <c r="F36" s="25">
        <v>24</v>
      </c>
      <c r="G36" s="24">
        <f t="shared" si="0"/>
        <v>11.005416666666667</v>
      </c>
      <c r="H36" s="23" t="s">
        <v>759</v>
      </c>
      <c r="I36" s="23" t="s">
        <v>760</v>
      </c>
      <c r="J36" s="23" t="str">
        <f t="shared" si="1"/>
        <v>OK</v>
      </c>
      <c r="K36" s="23"/>
    </row>
    <row r="37" spans="1:11" x14ac:dyDescent="0.25">
      <c r="A37" s="23" t="s">
        <v>795</v>
      </c>
      <c r="B37" s="23">
        <v>82</v>
      </c>
      <c r="C37" s="23">
        <v>83</v>
      </c>
      <c r="D37" s="23" t="s">
        <v>40</v>
      </c>
      <c r="E37" s="24">
        <v>287.97000000000003</v>
      </c>
      <c r="F37" s="25">
        <v>24</v>
      </c>
      <c r="G37" s="24">
        <f t="shared" si="0"/>
        <v>11.998750000000001</v>
      </c>
      <c r="H37" s="23" t="s">
        <v>759</v>
      </c>
      <c r="I37" s="23" t="s">
        <v>760</v>
      </c>
      <c r="J37" s="23" t="str">
        <f t="shared" si="1"/>
        <v>OK</v>
      </c>
      <c r="K37" s="23"/>
    </row>
    <row r="38" spans="1:11" x14ac:dyDescent="0.25">
      <c r="A38" s="23" t="s">
        <v>796</v>
      </c>
      <c r="B38" s="23">
        <v>84</v>
      </c>
      <c r="C38" s="23">
        <v>85</v>
      </c>
      <c r="D38" s="23" t="s">
        <v>41</v>
      </c>
      <c r="E38" s="24">
        <v>1320.65</v>
      </c>
      <c r="F38" s="25">
        <v>120</v>
      </c>
      <c r="G38" s="24">
        <f t="shared" si="0"/>
        <v>11.005416666666667</v>
      </c>
      <c r="H38" s="23" t="s">
        <v>759</v>
      </c>
      <c r="I38" s="23" t="s">
        <v>760</v>
      </c>
      <c r="J38" s="23" t="str">
        <f t="shared" si="1"/>
        <v>OK</v>
      </c>
      <c r="K38" s="23"/>
    </row>
    <row r="39" spans="1:11" x14ac:dyDescent="0.25">
      <c r="A39" s="23" t="s">
        <v>797</v>
      </c>
      <c r="B39" s="23">
        <v>86</v>
      </c>
      <c r="C39" s="23">
        <v>87</v>
      </c>
      <c r="D39" s="23" t="s">
        <v>42</v>
      </c>
      <c r="E39" s="24">
        <v>635.70000000000005</v>
      </c>
      <c r="F39" s="25">
        <v>60</v>
      </c>
      <c r="G39" s="24">
        <f t="shared" si="0"/>
        <v>10.595000000000001</v>
      </c>
      <c r="H39" s="23" t="s">
        <v>759</v>
      </c>
      <c r="I39" s="23" t="s">
        <v>760</v>
      </c>
      <c r="J39" s="23" t="str">
        <f t="shared" si="1"/>
        <v>OK</v>
      </c>
      <c r="K39" s="23"/>
    </row>
    <row r="40" spans="1:11" x14ac:dyDescent="0.25">
      <c r="A40" s="23" t="s">
        <v>798</v>
      </c>
      <c r="B40" s="23">
        <v>88</v>
      </c>
      <c r="C40" s="23">
        <v>89</v>
      </c>
      <c r="D40" s="23" t="s">
        <v>43</v>
      </c>
      <c r="E40" s="24">
        <v>424.95</v>
      </c>
      <c r="F40" s="25">
        <v>36</v>
      </c>
      <c r="G40" s="24">
        <f t="shared" si="0"/>
        <v>11.804166666666667</v>
      </c>
      <c r="H40" s="23" t="s">
        <v>759</v>
      </c>
      <c r="I40" s="23" t="s">
        <v>760</v>
      </c>
      <c r="J40" s="23" t="str">
        <f t="shared" si="1"/>
        <v>OK</v>
      </c>
      <c r="K40" s="23"/>
    </row>
    <row r="41" spans="1:11" x14ac:dyDescent="0.25">
      <c r="A41" s="23" t="s">
        <v>799</v>
      </c>
      <c r="B41" s="23">
        <v>90</v>
      </c>
      <c r="C41" s="23">
        <v>91</v>
      </c>
      <c r="D41" s="23" t="s">
        <v>44</v>
      </c>
      <c r="E41" s="24">
        <v>2288.52</v>
      </c>
      <c r="F41" s="25">
        <v>216</v>
      </c>
      <c r="G41" s="24">
        <f t="shared" si="0"/>
        <v>10.595000000000001</v>
      </c>
      <c r="H41" s="23" t="s">
        <v>759</v>
      </c>
      <c r="I41" s="23" t="s">
        <v>760</v>
      </c>
      <c r="J41" s="23" t="str">
        <f t="shared" si="1"/>
        <v>OK</v>
      </c>
      <c r="K41" s="23"/>
    </row>
    <row r="42" spans="1:11" x14ac:dyDescent="0.25">
      <c r="A42" s="23" t="s">
        <v>800</v>
      </c>
      <c r="B42" s="23">
        <v>92</v>
      </c>
      <c r="C42" s="23">
        <v>93</v>
      </c>
      <c r="D42" s="23" t="s">
        <v>45</v>
      </c>
      <c r="E42" s="24">
        <v>1325.04</v>
      </c>
      <c r="F42" s="25">
        <v>72</v>
      </c>
      <c r="G42" s="24">
        <f t="shared" si="0"/>
        <v>18.403333333333332</v>
      </c>
      <c r="H42" s="23" t="s">
        <v>759</v>
      </c>
      <c r="I42" s="23" t="s">
        <v>760</v>
      </c>
      <c r="J42" s="23" t="str">
        <f t="shared" si="1"/>
        <v>OK</v>
      </c>
      <c r="K42" s="23"/>
    </row>
    <row r="43" spans="1:11" x14ac:dyDescent="0.25">
      <c r="A43" s="23" t="s">
        <v>801</v>
      </c>
      <c r="B43" s="23">
        <v>94</v>
      </c>
      <c r="C43" s="23">
        <v>95</v>
      </c>
      <c r="D43" s="23" t="s">
        <v>46</v>
      </c>
      <c r="E43" s="24">
        <v>1151.8800000000001</v>
      </c>
      <c r="F43" s="25">
        <v>96</v>
      </c>
      <c r="G43" s="24">
        <f t="shared" si="0"/>
        <v>11.998750000000001</v>
      </c>
      <c r="H43" s="23" t="s">
        <v>759</v>
      </c>
      <c r="I43" s="23" t="s">
        <v>760</v>
      </c>
      <c r="J43" s="23" t="str">
        <f t="shared" si="1"/>
        <v>OK</v>
      </c>
      <c r="K43" s="23"/>
    </row>
    <row r="44" spans="1:11" x14ac:dyDescent="0.25">
      <c r="A44" s="23" t="s">
        <v>802</v>
      </c>
      <c r="B44" s="23">
        <v>96</v>
      </c>
      <c r="C44" s="23">
        <v>97</v>
      </c>
      <c r="D44" s="23" t="s">
        <v>47</v>
      </c>
      <c r="E44" s="24">
        <v>724.82</v>
      </c>
      <c r="F44" s="25">
        <v>7</v>
      </c>
      <c r="G44" s="24">
        <f t="shared" si="0"/>
        <v>103.5457142857143</v>
      </c>
      <c r="H44" s="23" t="s">
        <v>759</v>
      </c>
      <c r="I44" s="23" t="s">
        <v>760</v>
      </c>
      <c r="J44" s="23" t="str">
        <f t="shared" si="1"/>
        <v>OK</v>
      </c>
      <c r="K44" s="23"/>
    </row>
    <row r="45" spans="1:11" x14ac:dyDescent="0.25">
      <c r="A45" s="23" t="s">
        <v>803</v>
      </c>
      <c r="B45" s="23">
        <v>98</v>
      </c>
      <c r="C45" s="23">
        <v>99</v>
      </c>
      <c r="D45" s="23" t="s">
        <v>48</v>
      </c>
      <c r="E45" s="24">
        <v>105</v>
      </c>
      <c r="F45" s="25">
        <v>150</v>
      </c>
      <c r="G45" s="24">
        <f t="shared" si="0"/>
        <v>0.7</v>
      </c>
      <c r="H45" s="23" t="s">
        <v>759</v>
      </c>
      <c r="I45" s="23" t="s">
        <v>760</v>
      </c>
      <c r="J45" s="23" t="str">
        <f t="shared" si="1"/>
        <v>OK</v>
      </c>
      <c r="K45" s="23"/>
    </row>
    <row r="46" spans="1:11" x14ac:dyDescent="0.25">
      <c r="A46" s="23" t="s">
        <v>804</v>
      </c>
      <c r="B46" s="23">
        <v>100</v>
      </c>
      <c r="C46" s="23">
        <v>101</v>
      </c>
      <c r="D46" s="23" t="s">
        <v>49</v>
      </c>
      <c r="E46" s="24">
        <v>4039.2</v>
      </c>
      <c r="F46" s="25">
        <v>200</v>
      </c>
      <c r="G46" s="24">
        <f t="shared" si="0"/>
        <v>20.195999999999998</v>
      </c>
      <c r="H46" s="23" t="s">
        <v>759</v>
      </c>
      <c r="I46" s="23" t="s">
        <v>760</v>
      </c>
      <c r="J46" s="23" t="str">
        <f t="shared" si="1"/>
        <v>OK</v>
      </c>
      <c r="K46" s="23"/>
    </row>
    <row r="47" spans="1:11" x14ac:dyDescent="0.25">
      <c r="A47" s="23" t="s">
        <v>805</v>
      </c>
      <c r="B47" s="23">
        <v>102</v>
      </c>
      <c r="C47" s="23">
        <v>103</v>
      </c>
      <c r="D47" s="23" t="s">
        <v>50</v>
      </c>
      <c r="E47" s="24">
        <v>37.799999999999997</v>
      </c>
      <c r="F47" s="25">
        <v>1050</v>
      </c>
      <c r="G47" s="24">
        <f t="shared" si="0"/>
        <v>3.5999999999999997E-2</v>
      </c>
      <c r="H47" s="23" t="s">
        <v>759</v>
      </c>
      <c r="I47" s="23" t="s">
        <v>760</v>
      </c>
      <c r="J47" s="23" t="str">
        <f t="shared" si="1"/>
        <v>OK</v>
      </c>
      <c r="K47" s="23"/>
    </row>
    <row r="48" spans="1:11" x14ac:dyDescent="0.25">
      <c r="A48" s="23" t="s">
        <v>806</v>
      </c>
      <c r="B48" s="23">
        <v>104</v>
      </c>
      <c r="C48" s="23">
        <v>105</v>
      </c>
      <c r="D48" s="23" t="s">
        <v>51</v>
      </c>
      <c r="E48" s="24">
        <v>58.34</v>
      </c>
      <c r="F48" s="25">
        <v>300</v>
      </c>
      <c r="G48" s="24">
        <f t="shared" si="0"/>
        <v>0.19446666666666668</v>
      </c>
      <c r="H48" s="23" t="s">
        <v>759</v>
      </c>
      <c r="I48" s="23" t="s">
        <v>760</v>
      </c>
      <c r="J48" s="23" t="str">
        <f t="shared" si="1"/>
        <v>OK</v>
      </c>
      <c r="K48" s="23"/>
    </row>
    <row r="49" spans="1:11" x14ac:dyDescent="0.25">
      <c r="A49" s="23" t="s">
        <v>807</v>
      </c>
      <c r="B49" s="23">
        <v>106</v>
      </c>
      <c r="C49" s="23">
        <v>107</v>
      </c>
      <c r="D49" s="23" t="s">
        <v>52</v>
      </c>
      <c r="E49" s="24">
        <v>1142.5</v>
      </c>
      <c r="F49" s="25">
        <v>49</v>
      </c>
      <c r="G49" s="24">
        <f t="shared" si="0"/>
        <v>23.316326530612244</v>
      </c>
      <c r="H49" s="23" t="s">
        <v>759</v>
      </c>
      <c r="I49" s="23" t="s">
        <v>760</v>
      </c>
      <c r="J49" s="23" t="str">
        <f t="shared" si="1"/>
        <v>OK</v>
      </c>
      <c r="K49" s="23"/>
    </row>
    <row r="50" spans="1:11" x14ac:dyDescent="0.25">
      <c r="A50" s="23" t="s">
        <v>808</v>
      </c>
      <c r="B50" s="23">
        <v>108</v>
      </c>
      <c r="C50" s="23">
        <v>109</v>
      </c>
      <c r="D50" s="23" t="s">
        <v>53</v>
      </c>
      <c r="E50" s="24">
        <v>3308.8</v>
      </c>
      <c r="F50" s="25">
        <v>2350</v>
      </c>
      <c r="G50" s="24">
        <f t="shared" si="0"/>
        <v>1.4080000000000001</v>
      </c>
      <c r="H50" s="23" t="s">
        <v>759</v>
      </c>
      <c r="I50" s="23" t="s">
        <v>760</v>
      </c>
      <c r="J50" s="23" t="str">
        <f t="shared" si="1"/>
        <v>OK</v>
      </c>
      <c r="K50" s="23"/>
    </row>
    <row r="51" spans="1:11" x14ac:dyDescent="0.25">
      <c r="A51" s="23" t="s">
        <v>809</v>
      </c>
      <c r="B51" s="23">
        <v>110</v>
      </c>
      <c r="C51" s="23">
        <v>111</v>
      </c>
      <c r="D51" s="23" t="s">
        <v>54</v>
      </c>
      <c r="E51" s="24">
        <v>26.76</v>
      </c>
      <c r="F51" s="25">
        <v>200</v>
      </c>
      <c r="G51" s="24">
        <f t="shared" si="0"/>
        <v>0.1338</v>
      </c>
      <c r="H51" s="23" t="s">
        <v>759</v>
      </c>
      <c r="I51" s="23" t="s">
        <v>760</v>
      </c>
      <c r="J51" s="23" t="str">
        <f t="shared" si="1"/>
        <v>OK</v>
      </c>
      <c r="K51" s="23"/>
    </row>
    <row r="52" spans="1:11" x14ac:dyDescent="0.25">
      <c r="A52" s="23" t="s">
        <v>810</v>
      </c>
      <c r="B52" s="23">
        <v>112</v>
      </c>
      <c r="C52" s="23">
        <v>113</v>
      </c>
      <c r="D52" s="23" t="s">
        <v>55</v>
      </c>
      <c r="E52" s="24">
        <v>42.06</v>
      </c>
      <c r="F52" s="25">
        <v>380</v>
      </c>
      <c r="G52" s="24">
        <f t="shared" si="0"/>
        <v>0.1106842105263158</v>
      </c>
      <c r="H52" s="23" t="s">
        <v>759</v>
      </c>
      <c r="I52" s="23" t="s">
        <v>760</v>
      </c>
      <c r="J52" s="23" t="str">
        <f t="shared" si="1"/>
        <v>OK</v>
      </c>
      <c r="K52" s="23"/>
    </row>
    <row r="53" spans="1:11" x14ac:dyDescent="0.25">
      <c r="A53" s="23" t="s">
        <v>811</v>
      </c>
      <c r="B53" s="23">
        <v>114</v>
      </c>
      <c r="C53" s="23">
        <v>115</v>
      </c>
      <c r="D53" s="23" t="s">
        <v>56</v>
      </c>
      <c r="E53" s="24">
        <v>51.66</v>
      </c>
      <c r="F53" s="25">
        <v>150</v>
      </c>
      <c r="G53" s="24">
        <f t="shared" si="0"/>
        <v>0.34439999999999998</v>
      </c>
      <c r="H53" s="23" t="s">
        <v>759</v>
      </c>
      <c r="I53" s="23" t="s">
        <v>760</v>
      </c>
      <c r="J53" s="23" t="str">
        <f t="shared" si="1"/>
        <v>OK</v>
      </c>
      <c r="K53" s="23"/>
    </row>
    <row r="54" spans="1:11" x14ac:dyDescent="0.25">
      <c r="A54" s="23" t="s">
        <v>812</v>
      </c>
      <c r="B54" s="23">
        <v>116</v>
      </c>
      <c r="C54" s="23">
        <v>117</v>
      </c>
      <c r="D54" s="23" t="s">
        <v>57</v>
      </c>
      <c r="E54" s="24">
        <v>76.8</v>
      </c>
      <c r="F54" s="25">
        <v>240</v>
      </c>
      <c r="G54" s="24">
        <f t="shared" si="0"/>
        <v>0.32</v>
      </c>
      <c r="H54" s="23" t="s">
        <v>759</v>
      </c>
      <c r="I54" s="23" t="s">
        <v>760</v>
      </c>
      <c r="J54" s="23" t="str">
        <f t="shared" si="1"/>
        <v>OK</v>
      </c>
      <c r="K54" s="23"/>
    </row>
    <row r="55" spans="1:11" x14ac:dyDescent="0.25">
      <c r="A55" s="23" t="s">
        <v>813</v>
      </c>
      <c r="B55" s="23">
        <v>118</v>
      </c>
      <c r="C55" s="23">
        <v>119</v>
      </c>
      <c r="D55" s="23" t="s">
        <v>58</v>
      </c>
      <c r="E55" s="24">
        <v>2275.42</v>
      </c>
      <c r="F55" s="25">
        <v>1840</v>
      </c>
      <c r="G55" s="24">
        <f t="shared" si="0"/>
        <v>1.2366413043478262</v>
      </c>
      <c r="H55" s="23" t="s">
        <v>759</v>
      </c>
      <c r="I55" s="23" t="s">
        <v>760</v>
      </c>
      <c r="J55" s="23" t="str">
        <f t="shared" si="1"/>
        <v>OK</v>
      </c>
      <c r="K55" s="23"/>
    </row>
    <row r="56" spans="1:11" x14ac:dyDescent="0.25">
      <c r="A56" s="23" t="s">
        <v>814</v>
      </c>
      <c r="B56" s="23">
        <v>120</v>
      </c>
      <c r="C56" s="23">
        <v>121</v>
      </c>
      <c r="D56" s="23" t="s">
        <v>59</v>
      </c>
      <c r="E56" s="24">
        <v>180254.65</v>
      </c>
      <c r="F56" s="25">
        <v>26</v>
      </c>
      <c r="G56" s="24">
        <f t="shared" si="0"/>
        <v>6932.8711538461539</v>
      </c>
      <c r="H56" s="23" t="s">
        <v>759</v>
      </c>
      <c r="I56" s="23" t="s">
        <v>760</v>
      </c>
      <c r="J56" s="23" t="str">
        <f t="shared" si="1"/>
        <v>OK</v>
      </c>
      <c r="K56" s="23"/>
    </row>
    <row r="57" spans="1:11" x14ac:dyDescent="0.25">
      <c r="A57" s="23" t="s">
        <v>815</v>
      </c>
      <c r="B57" s="23">
        <v>122</v>
      </c>
      <c r="C57" s="23">
        <v>123</v>
      </c>
      <c r="D57" s="23" t="s">
        <v>60</v>
      </c>
      <c r="E57" s="24">
        <v>20346.009999999998</v>
      </c>
      <c r="F57" s="25">
        <v>99</v>
      </c>
      <c r="G57" s="24">
        <f t="shared" si="0"/>
        <v>205.51525252525252</v>
      </c>
      <c r="H57" s="23" t="s">
        <v>759</v>
      </c>
      <c r="I57" s="23" t="s">
        <v>760</v>
      </c>
      <c r="J57" s="23" t="str">
        <f t="shared" si="1"/>
        <v>OK</v>
      </c>
      <c r="K57" s="23"/>
    </row>
    <row r="58" spans="1:11" x14ac:dyDescent="0.25">
      <c r="A58" s="23" t="s">
        <v>816</v>
      </c>
      <c r="B58" s="23">
        <v>124</v>
      </c>
      <c r="C58" s="23">
        <v>125</v>
      </c>
      <c r="D58" s="23" t="s">
        <v>61</v>
      </c>
      <c r="E58" s="24">
        <v>29659.69</v>
      </c>
      <c r="F58" s="25">
        <v>735</v>
      </c>
      <c r="G58" s="24">
        <f t="shared" si="0"/>
        <v>40.353319727891154</v>
      </c>
      <c r="H58" s="23" t="s">
        <v>759</v>
      </c>
      <c r="I58" s="23" t="s">
        <v>760</v>
      </c>
      <c r="J58" s="23" t="str">
        <f t="shared" si="1"/>
        <v>OK</v>
      </c>
      <c r="K58" s="23"/>
    </row>
    <row r="59" spans="1:11" x14ac:dyDescent="0.25">
      <c r="A59" s="23" t="s">
        <v>817</v>
      </c>
      <c r="B59" s="23">
        <v>126</v>
      </c>
      <c r="C59" s="23">
        <v>127</v>
      </c>
      <c r="D59" s="23" t="s">
        <v>62</v>
      </c>
      <c r="E59" s="24">
        <v>1287.49</v>
      </c>
      <c r="F59" s="25">
        <v>80</v>
      </c>
      <c r="G59" s="24">
        <f t="shared" si="0"/>
        <v>16.093624999999999</v>
      </c>
      <c r="H59" s="23" t="s">
        <v>759</v>
      </c>
      <c r="I59" s="23" t="s">
        <v>760</v>
      </c>
      <c r="J59" s="23" t="str">
        <f t="shared" si="1"/>
        <v>OK</v>
      </c>
      <c r="K59" s="23"/>
    </row>
    <row r="60" spans="1:11" x14ac:dyDescent="0.25">
      <c r="A60" s="23" t="s">
        <v>818</v>
      </c>
      <c r="B60" s="23">
        <v>128</v>
      </c>
      <c r="C60" s="23">
        <v>129</v>
      </c>
      <c r="D60" s="23" t="s">
        <v>63</v>
      </c>
      <c r="E60" s="24">
        <v>200.72</v>
      </c>
      <c r="F60" s="25">
        <v>70</v>
      </c>
      <c r="G60" s="24">
        <f t="shared" si="0"/>
        <v>2.8674285714285714</v>
      </c>
      <c r="H60" s="23" t="s">
        <v>759</v>
      </c>
      <c r="I60" s="23" t="s">
        <v>760</v>
      </c>
      <c r="J60" s="23" t="str">
        <f t="shared" si="1"/>
        <v>OK</v>
      </c>
      <c r="K60" s="23"/>
    </row>
    <row r="61" spans="1:11" x14ac:dyDescent="0.25">
      <c r="A61" s="23" t="s">
        <v>819</v>
      </c>
      <c r="B61" s="23">
        <v>130</v>
      </c>
      <c r="C61" s="23">
        <v>131</v>
      </c>
      <c r="D61" s="23" t="s">
        <v>64</v>
      </c>
      <c r="E61" s="24">
        <v>573.4</v>
      </c>
      <c r="F61" s="25">
        <v>100</v>
      </c>
      <c r="G61" s="24">
        <f t="shared" si="0"/>
        <v>5.734</v>
      </c>
      <c r="H61" s="23" t="s">
        <v>759</v>
      </c>
      <c r="I61" s="23" t="s">
        <v>760</v>
      </c>
      <c r="J61" s="23" t="str">
        <f t="shared" si="1"/>
        <v>OK</v>
      </c>
      <c r="K61" s="23"/>
    </row>
    <row r="62" spans="1:11" x14ac:dyDescent="0.25">
      <c r="A62" s="23" t="s">
        <v>820</v>
      </c>
      <c r="B62" s="23">
        <v>132</v>
      </c>
      <c r="C62" s="23">
        <v>133</v>
      </c>
      <c r="D62" s="23" t="s">
        <v>65</v>
      </c>
      <c r="E62" s="24">
        <v>3982.4</v>
      </c>
      <c r="F62" s="25">
        <v>116000</v>
      </c>
      <c r="G62" s="24">
        <f t="shared" si="0"/>
        <v>3.4331034482758621E-2</v>
      </c>
      <c r="H62" s="23" t="s">
        <v>759</v>
      </c>
      <c r="I62" s="23" t="s">
        <v>760</v>
      </c>
      <c r="J62" s="23" t="str">
        <f t="shared" si="1"/>
        <v>OK</v>
      </c>
      <c r="K62" s="23"/>
    </row>
    <row r="63" spans="1:11" x14ac:dyDescent="0.25">
      <c r="A63" s="23" t="s">
        <v>821</v>
      </c>
      <c r="B63" s="23">
        <v>134</v>
      </c>
      <c r="C63" s="23">
        <v>135</v>
      </c>
      <c r="D63" s="23" t="s">
        <v>66</v>
      </c>
      <c r="E63" s="24">
        <v>288.14999999999998</v>
      </c>
      <c r="F63" s="25">
        <v>29</v>
      </c>
      <c r="G63" s="24">
        <f t="shared" si="0"/>
        <v>9.9362068965517238</v>
      </c>
      <c r="H63" s="23" t="s">
        <v>759</v>
      </c>
      <c r="I63" s="23" t="s">
        <v>760</v>
      </c>
      <c r="J63" s="23" t="str">
        <f t="shared" si="1"/>
        <v>OK</v>
      </c>
      <c r="K63" s="23"/>
    </row>
    <row r="64" spans="1:11" x14ac:dyDescent="0.25">
      <c r="A64" s="23" t="s">
        <v>822</v>
      </c>
      <c r="B64" s="23">
        <v>136</v>
      </c>
      <c r="C64" s="23">
        <v>137</v>
      </c>
      <c r="D64" s="23" t="s">
        <v>67</v>
      </c>
      <c r="E64" s="24">
        <v>1878.14</v>
      </c>
      <c r="F64" s="25">
        <v>37000</v>
      </c>
      <c r="G64" s="24">
        <f t="shared" si="0"/>
        <v>5.0760540540540543E-2</v>
      </c>
      <c r="H64" s="23" t="s">
        <v>759</v>
      </c>
      <c r="I64" s="23" t="s">
        <v>760</v>
      </c>
      <c r="J64" s="23" t="str">
        <f t="shared" si="1"/>
        <v>OK</v>
      </c>
      <c r="K64" s="23"/>
    </row>
    <row r="65" spans="1:11" x14ac:dyDescent="0.25">
      <c r="A65" s="23" t="s">
        <v>823</v>
      </c>
      <c r="B65" s="23">
        <v>138</v>
      </c>
      <c r="C65" s="23">
        <v>139</v>
      </c>
      <c r="D65" s="23" t="s">
        <v>68</v>
      </c>
      <c r="E65" s="24">
        <v>128.74</v>
      </c>
      <c r="F65" s="25">
        <v>20</v>
      </c>
      <c r="G65" s="24">
        <f t="shared" si="0"/>
        <v>6.4370000000000003</v>
      </c>
      <c r="H65" s="23" t="s">
        <v>759</v>
      </c>
      <c r="I65" s="23" t="s">
        <v>760</v>
      </c>
      <c r="J65" s="23" t="str">
        <f t="shared" si="1"/>
        <v>OK</v>
      </c>
      <c r="K65" s="23"/>
    </row>
    <row r="66" spans="1:11" x14ac:dyDescent="0.25">
      <c r="A66" s="23" t="s">
        <v>824</v>
      </c>
      <c r="B66" s="23">
        <v>140</v>
      </c>
      <c r="C66" s="23">
        <v>141</v>
      </c>
      <c r="D66" s="23" t="s">
        <v>69</v>
      </c>
      <c r="E66" s="24">
        <v>22.57</v>
      </c>
      <c r="F66" s="25">
        <v>10</v>
      </c>
      <c r="G66" s="24">
        <f t="shared" ref="G66:G129" si="2">IFERROR(E66/F66,"")</f>
        <v>2.2570000000000001</v>
      </c>
      <c r="H66" s="23" t="s">
        <v>759</v>
      </c>
      <c r="I66" s="23" t="s">
        <v>760</v>
      </c>
      <c r="J66" s="23" t="str">
        <f t="shared" ref="J66:J129" si="3">IF(OR(E66="",F66=""),"LIPSESC DATE",IF(F66=0,"CANTITATE 0","OK"))</f>
        <v>OK</v>
      </c>
      <c r="K66" s="23"/>
    </row>
    <row r="67" spans="1:11" x14ac:dyDescent="0.25">
      <c r="A67" s="23" t="s">
        <v>825</v>
      </c>
      <c r="B67" s="23">
        <v>142</v>
      </c>
      <c r="C67" s="23">
        <v>143</v>
      </c>
      <c r="D67" s="23" t="s">
        <v>70</v>
      </c>
      <c r="E67" s="24">
        <v>1299.5999999999999</v>
      </c>
      <c r="F67" s="25">
        <v>570</v>
      </c>
      <c r="G67" s="24">
        <f t="shared" si="2"/>
        <v>2.2799999999999998</v>
      </c>
      <c r="H67" s="23" t="s">
        <v>759</v>
      </c>
      <c r="I67" s="23" t="s">
        <v>760</v>
      </c>
      <c r="J67" s="23" t="str">
        <f t="shared" si="3"/>
        <v>OK</v>
      </c>
      <c r="K67" s="23"/>
    </row>
    <row r="68" spans="1:11" x14ac:dyDescent="0.25">
      <c r="A68" s="23" t="s">
        <v>826</v>
      </c>
      <c r="B68" s="23">
        <v>144</v>
      </c>
      <c r="C68" s="23">
        <v>145</v>
      </c>
      <c r="D68" s="23" t="s">
        <v>71</v>
      </c>
      <c r="E68" s="24">
        <v>136.80000000000001</v>
      </c>
      <c r="F68" s="25">
        <v>60</v>
      </c>
      <c r="G68" s="24">
        <f t="shared" si="2"/>
        <v>2.2800000000000002</v>
      </c>
      <c r="H68" s="23" t="s">
        <v>759</v>
      </c>
      <c r="I68" s="23" t="s">
        <v>760</v>
      </c>
      <c r="J68" s="23" t="str">
        <f t="shared" si="3"/>
        <v>OK</v>
      </c>
      <c r="K68" s="23"/>
    </row>
    <row r="69" spans="1:11" x14ac:dyDescent="0.25">
      <c r="A69" s="23" t="s">
        <v>827</v>
      </c>
      <c r="B69" s="23">
        <v>146</v>
      </c>
      <c r="C69" s="23">
        <v>147</v>
      </c>
      <c r="D69" s="23" t="s">
        <v>72</v>
      </c>
      <c r="E69" s="24">
        <v>1136.1099999999999</v>
      </c>
      <c r="F69" s="25">
        <v>41</v>
      </c>
      <c r="G69" s="24">
        <f t="shared" si="2"/>
        <v>27.709999999999997</v>
      </c>
      <c r="H69" s="23" t="s">
        <v>759</v>
      </c>
      <c r="I69" s="23" t="s">
        <v>760</v>
      </c>
      <c r="J69" s="23" t="str">
        <f t="shared" si="3"/>
        <v>OK</v>
      </c>
      <c r="K69" s="23"/>
    </row>
    <row r="70" spans="1:11" x14ac:dyDescent="0.25">
      <c r="A70" s="23" t="s">
        <v>828</v>
      </c>
      <c r="B70" s="23">
        <v>148</v>
      </c>
      <c r="C70" s="23">
        <v>149</v>
      </c>
      <c r="D70" s="23" t="s">
        <v>73</v>
      </c>
      <c r="E70" s="24">
        <v>424.2</v>
      </c>
      <c r="F70" s="25">
        <v>500</v>
      </c>
      <c r="G70" s="24">
        <f t="shared" si="2"/>
        <v>0.84839999999999993</v>
      </c>
      <c r="H70" s="23" t="s">
        <v>759</v>
      </c>
      <c r="I70" s="23" t="s">
        <v>760</v>
      </c>
      <c r="J70" s="23" t="str">
        <f t="shared" si="3"/>
        <v>OK</v>
      </c>
      <c r="K70" s="23"/>
    </row>
    <row r="71" spans="1:11" x14ac:dyDescent="0.25">
      <c r="A71" s="23" t="s">
        <v>829</v>
      </c>
      <c r="B71" s="23">
        <v>150</v>
      </c>
      <c r="C71" s="23">
        <v>151</v>
      </c>
      <c r="D71" s="23" t="s">
        <v>74</v>
      </c>
      <c r="E71" s="24">
        <v>8231.9</v>
      </c>
      <c r="F71" s="25">
        <v>3130</v>
      </c>
      <c r="G71" s="24">
        <f t="shared" si="2"/>
        <v>2.63</v>
      </c>
      <c r="H71" s="23" t="s">
        <v>759</v>
      </c>
      <c r="I71" s="23" t="s">
        <v>760</v>
      </c>
      <c r="J71" s="23" t="str">
        <f t="shared" si="3"/>
        <v>OK</v>
      </c>
      <c r="K71" s="23"/>
    </row>
    <row r="72" spans="1:11" x14ac:dyDescent="0.25">
      <c r="A72" s="23" t="s">
        <v>830</v>
      </c>
      <c r="B72" s="23">
        <v>152</v>
      </c>
      <c r="C72" s="23">
        <v>153</v>
      </c>
      <c r="D72" s="23" t="s">
        <v>75</v>
      </c>
      <c r="E72" s="24">
        <v>10234.64</v>
      </c>
      <c r="F72" s="25">
        <v>2600</v>
      </c>
      <c r="G72" s="24">
        <f t="shared" si="2"/>
        <v>3.9363999999999999</v>
      </c>
      <c r="H72" s="23" t="s">
        <v>759</v>
      </c>
      <c r="I72" s="23" t="s">
        <v>760</v>
      </c>
      <c r="J72" s="23" t="str">
        <f t="shared" si="3"/>
        <v>OK</v>
      </c>
      <c r="K72" s="23"/>
    </row>
    <row r="73" spans="1:11" x14ac:dyDescent="0.25">
      <c r="A73" s="23" t="s">
        <v>831</v>
      </c>
      <c r="B73" s="23">
        <v>154</v>
      </c>
      <c r="C73" s="23">
        <v>155</v>
      </c>
      <c r="D73" s="23" t="s">
        <v>76</v>
      </c>
      <c r="E73" s="24">
        <v>480.6</v>
      </c>
      <c r="F73" s="25">
        <v>1250</v>
      </c>
      <c r="G73" s="24">
        <f t="shared" si="2"/>
        <v>0.38448000000000004</v>
      </c>
      <c r="H73" s="23" t="s">
        <v>759</v>
      </c>
      <c r="I73" s="23" t="s">
        <v>760</v>
      </c>
      <c r="J73" s="23" t="str">
        <f t="shared" si="3"/>
        <v>OK</v>
      </c>
      <c r="K73" s="23"/>
    </row>
    <row r="74" spans="1:11" x14ac:dyDescent="0.25">
      <c r="A74" s="23" t="s">
        <v>832</v>
      </c>
      <c r="B74" s="23">
        <v>156</v>
      </c>
      <c r="C74" s="23">
        <v>157</v>
      </c>
      <c r="D74" s="23" t="s">
        <v>77</v>
      </c>
      <c r="E74" s="24">
        <v>839.05</v>
      </c>
      <c r="F74" s="25">
        <v>1830</v>
      </c>
      <c r="G74" s="24">
        <f t="shared" si="2"/>
        <v>0.45849726775956284</v>
      </c>
      <c r="H74" s="23" t="s">
        <v>759</v>
      </c>
      <c r="I74" s="23" t="s">
        <v>760</v>
      </c>
      <c r="J74" s="23" t="str">
        <f t="shared" si="3"/>
        <v>OK</v>
      </c>
      <c r="K74" s="23"/>
    </row>
    <row r="75" spans="1:11" x14ac:dyDescent="0.25">
      <c r="A75" s="23" t="s">
        <v>833</v>
      </c>
      <c r="B75" s="23">
        <v>158</v>
      </c>
      <c r="C75" s="23">
        <v>159</v>
      </c>
      <c r="D75" s="23" t="s">
        <v>78</v>
      </c>
      <c r="E75" s="24">
        <v>9.7200000000000006</v>
      </c>
      <c r="F75" s="25">
        <v>30</v>
      </c>
      <c r="G75" s="24">
        <f t="shared" si="2"/>
        <v>0.32400000000000001</v>
      </c>
      <c r="H75" s="23" t="s">
        <v>759</v>
      </c>
      <c r="I75" s="23" t="s">
        <v>760</v>
      </c>
      <c r="J75" s="23" t="str">
        <f t="shared" si="3"/>
        <v>OK</v>
      </c>
      <c r="K75" s="23"/>
    </row>
    <row r="76" spans="1:11" x14ac:dyDescent="0.25">
      <c r="A76" s="23" t="s">
        <v>834</v>
      </c>
      <c r="B76" s="23">
        <v>160</v>
      </c>
      <c r="C76" s="23">
        <v>161</v>
      </c>
      <c r="D76" s="23" t="s">
        <v>79</v>
      </c>
      <c r="E76" s="24">
        <v>96.15</v>
      </c>
      <c r="F76" s="25">
        <v>90</v>
      </c>
      <c r="G76" s="24">
        <f t="shared" si="2"/>
        <v>1.0683333333333334</v>
      </c>
      <c r="H76" s="23" t="s">
        <v>759</v>
      </c>
      <c r="I76" s="23" t="s">
        <v>760</v>
      </c>
      <c r="J76" s="23" t="str">
        <f t="shared" si="3"/>
        <v>OK</v>
      </c>
      <c r="K76" s="23"/>
    </row>
    <row r="77" spans="1:11" x14ac:dyDescent="0.25">
      <c r="A77" s="23" t="s">
        <v>835</v>
      </c>
      <c r="B77" s="23">
        <v>162</v>
      </c>
      <c r="C77" s="23">
        <v>163</v>
      </c>
      <c r="D77" s="23" t="s">
        <v>80</v>
      </c>
      <c r="E77" s="24">
        <v>26.94</v>
      </c>
      <c r="F77" s="25">
        <v>1</v>
      </c>
      <c r="G77" s="24">
        <f t="shared" si="2"/>
        <v>26.94</v>
      </c>
      <c r="H77" s="23" t="s">
        <v>759</v>
      </c>
      <c r="I77" s="23" t="s">
        <v>760</v>
      </c>
      <c r="J77" s="23" t="str">
        <f t="shared" si="3"/>
        <v>OK</v>
      </c>
      <c r="K77" s="23"/>
    </row>
    <row r="78" spans="1:11" x14ac:dyDescent="0.25">
      <c r="A78" s="23" t="s">
        <v>836</v>
      </c>
      <c r="B78" s="23">
        <v>164</v>
      </c>
      <c r="C78" s="23">
        <v>165</v>
      </c>
      <c r="D78" s="23" t="s">
        <v>81</v>
      </c>
      <c r="E78" s="24">
        <v>1756.93</v>
      </c>
      <c r="F78" s="25">
        <v>6990</v>
      </c>
      <c r="G78" s="24">
        <f t="shared" si="2"/>
        <v>0.25134907010014307</v>
      </c>
      <c r="H78" s="23" t="s">
        <v>759</v>
      </c>
      <c r="I78" s="23" t="s">
        <v>760</v>
      </c>
      <c r="J78" s="23" t="str">
        <f t="shared" si="3"/>
        <v>OK</v>
      </c>
      <c r="K78" s="23"/>
    </row>
    <row r="79" spans="1:11" x14ac:dyDescent="0.25">
      <c r="A79" s="23" t="s">
        <v>837</v>
      </c>
      <c r="B79" s="23">
        <v>166</v>
      </c>
      <c r="C79" s="23">
        <v>167</v>
      </c>
      <c r="D79" s="23" t="s">
        <v>82</v>
      </c>
      <c r="E79" s="24">
        <v>53.56</v>
      </c>
      <c r="F79" s="25">
        <v>80</v>
      </c>
      <c r="G79" s="24">
        <f t="shared" si="2"/>
        <v>0.66949999999999998</v>
      </c>
      <c r="H79" s="23" t="s">
        <v>759</v>
      </c>
      <c r="I79" s="23" t="s">
        <v>760</v>
      </c>
      <c r="J79" s="23" t="str">
        <f t="shared" si="3"/>
        <v>OK</v>
      </c>
      <c r="K79" s="23"/>
    </row>
    <row r="80" spans="1:11" x14ac:dyDescent="0.25">
      <c r="A80" s="23" t="s">
        <v>838</v>
      </c>
      <c r="B80" s="23">
        <v>168</v>
      </c>
      <c r="C80" s="23">
        <v>169</v>
      </c>
      <c r="D80" s="23" t="s">
        <v>83</v>
      </c>
      <c r="E80" s="24">
        <v>357.58</v>
      </c>
      <c r="F80" s="25">
        <v>140</v>
      </c>
      <c r="G80" s="24">
        <f t="shared" si="2"/>
        <v>2.5541428571428568</v>
      </c>
      <c r="H80" s="23" t="s">
        <v>759</v>
      </c>
      <c r="I80" s="23" t="s">
        <v>760</v>
      </c>
      <c r="J80" s="23" t="str">
        <f t="shared" si="3"/>
        <v>OK</v>
      </c>
      <c r="K80" s="23"/>
    </row>
    <row r="81" spans="1:11" x14ac:dyDescent="0.25">
      <c r="A81" s="23" t="s">
        <v>839</v>
      </c>
      <c r="B81" s="23">
        <v>170</v>
      </c>
      <c r="C81" s="23">
        <v>171</v>
      </c>
      <c r="D81" s="23" t="s">
        <v>84</v>
      </c>
      <c r="E81" s="24">
        <v>7020.93</v>
      </c>
      <c r="F81" s="25">
        <v>45</v>
      </c>
      <c r="G81" s="24">
        <f t="shared" si="2"/>
        <v>156.02066666666667</v>
      </c>
      <c r="H81" s="23" t="s">
        <v>759</v>
      </c>
      <c r="I81" s="23" t="s">
        <v>760</v>
      </c>
      <c r="J81" s="23" t="str">
        <f t="shared" si="3"/>
        <v>OK</v>
      </c>
      <c r="K81" s="23"/>
    </row>
    <row r="82" spans="1:11" x14ac:dyDescent="0.25">
      <c r="A82" s="23" t="s">
        <v>840</v>
      </c>
      <c r="B82" s="23">
        <v>172</v>
      </c>
      <c r="C82" s="23">
        <v>173</v>
      </c>
      <c r="D82" s="23" t="s">
        <v>85</v>
      </c>
      <c r="E82" s="24">
        <v>31091.119999999999</v>
      </c>
      <c r="F82" s="25">
        <v>134</v>
      </c>
      <c r="G82" s="24">
        <f t="shared" si="2"/>
        <v>232.02328358208953</v>
      </c>
      <c r="H82" s="23" t="s">
        <v>759</v>
      </c>
      <c r="I82" s="23" t="s">
        <v>760</v>
      </c>
      <c r="J82" s="23" t="str">
        <f t="shared" si="3"/>
        <v>OK</v>
      </c>
      <c r="K82" s="23"/>
    </row>
    <row r="83" spans="1:11" x14ac:dyDescent="0.25">
      <c r="A83" s="23" t="s">
        <v>841</v>
      </c>
      <c r="B83" s="23">
        <v>174</v>
      </c>
      <c r="C83" s="23">
        <v>175</v>
      </c>
      <c r="D83" s="23" t="s">
        <v>86</v>
      </c>
      <c r="E83" s="24">
        <v>2012.5</v>
      </c>
      <c r="F83" s="25">
        <v>250</v>
      </c>
      <c r="G83" s="24">
        <f t="shared" si="2"/>
        <v>8.0500000000000007</v>
      </c>
      <c r="H83" s="23" t="s">
        <v>759</v>
      </c>
      <c r="I83" s="23" t="s">
        <v>760</v>
      </c>
      <c r="J83" s="23" t="str">
        <f t="shared" si="3"/>
        <v>OK</v>
      </c>
      <c r="K83" s="23"/>
    </row>
    <row r="84" spans="1:11" x14ac:dyDescent="0.25">
      <c r="A84" s="23" t="s">
        <v>842</v>
      </c>
      <c r="B84" s="23">
        <v>176</v>
      </c>
      <c r="C84" s="23">
        <v>177</v>
      </c>
      <c r="D84" s="23" t="s">
        <v>87</v>
      </c>
      <c r="E84" s="24">
        <v>449.99</v>
      </c>
      <c r="F84" s="25">
        <v>360</v>
      </c>
      <c r="G84" s="24">
        <f t="shared" si="2"/>
        <v>1.2499722222222223</v>
      </c>
      <c r="H84" s="23" t="s">
        <v>759</v>
      </c>
      <c r="I84" s="23" t="s">
        <v>760</v>
      </c>
      <c r="J84" s="23" t="str">
        <f t="shared" si="3"/>
        <v>OK</v>
      </c>
      <c r="K84" s="23"/>
    </row>
    <row r="85" spans="1:11" ht="26.4" x14ac:dyDescent="0.25">
      <c r="A85" s="23" t="s">
        <v>843</v>
      </c>
      <c r="B85" s="23">
        <v>178</v>
      </c>
      <c r="C85" s="23">
        <v>179</v>
      </c>
      <c r="D85" s="23" t="s">
        <v>88</v>
      </c>
      <c r="E85" s="24">
        <v>257.55</v>
      </c>
      <c r="F85" s="25">
        <v>110</v>
      </c>
      <c r="G85" s="24">
        <f t="shared" si="2"/>
        <v>2.3413636363636363</v>
      </c>
      <c r="H85" s="23" t="s">
        <v>759</v>
      </c>
      <c r="I85" s="23" t="s">
        <v>760</v>
      </c>
      <c r="J85" s="23" t="str">
        <f t="shared" si="3"/>
        <v>OK</v>
      </c>
      <c r="K85" s="23"/>
    </row>
    <row r="86" spans="1:11" x14ac:dyDescent="0.25">
      <c r="A86" s="23" t="s">
        <v>844</v>
      </c>
      <c r="B86" s="23">
        <v>180</v>
      </c>
      <c r="C86" s="23">
        <v>181</v>
      </c>
      <c r="D86" s="23" t="s">
        <v>89</v>
      </c>
      <c r="E86" s="24">
        <v>37.57</v>
      </c>
      <c r="F86" s="25">
        <v>100</v>
      </c>
      <c r="G86" s="24">
        <f t="shared" si="2"/>
        <v>0.37569999999999998</v>
      </c>
      <c r="H86" s="23" t="s">
        <v>759</v>
      </c>
      <c r="I86" s="23" t="s">
        <v>760</v>
      </c>
      <c r="J86" s="23" t="str">
        <f t="shared" si="3"/>
        <v>OK</v>
      </c>
      <c r="K86" s="23"/>
    </row>
    <row r="87" spans="1:11" x14ac:dyDescent="0.25">
      <c r="A87" s="23" t="s">
        <v>845</v>
      </c>
      <c r="B87" s="23">
        <v>182</v>
      </c>
      <c r="C87" s="23">
        <v>183</v>
      </c>
      <c r="D87" s="23" t="s">
        <v>90</v>
      </c>
      <c r="E87" s="24">
        <v>734.4</v>
      </c>
      <c r="F87" s="25">
        <v>2868</v>
      </c>
      <c r="G87" s="24">
        <f t="shared" si="2"/>
        <v>0.25606694560669457</v>
      </c>
      <c r="H87" s="23" t="s">
        <v>759</v>
      </c>
      <c r="I87" s="23" t="s">
        <v>760</v>
      </c>
      <c r="J87" s="23" t="str">
        <f t="shared" si="3"/>
        <v>OK</v>
      </c>
      <c r="K87" s="23"/>
    </row>
    <row r="88" spans="1:11" x14ac:dyDescent="0.25">
      <c r="A88" s="23" t="s">
        <v>846</v>
      </c>
      <c r="B88" s="23">
        <v>184</v>
      </c>
      <c r="C88" s="23">
        <v>185</v>
      </c>
      <c r="D88" s="23" t="s">
        <v>91</v>
      </c>
      <c r="E88" s="24">
        <v>640.79999999999995</v>
      </c>
      <c r="F88" s="25">
        <v>1530</v>
      </c>
      <c r="G88" s="24">
        <f t="shared" si="2"/>
        <v>0.41882352941176465</v>
      </c>
      <c r="H88" s="23" t="s">
        <v>759</v>
      </c>
      <c r="I88" s="23" t="s">
        <v>760</v>
      </c>
      <c r="J88" s="23" t="str">
        <f t="shared" si="3"/>
        <v>OK</v>
      </c>
      <c r="K88" s="23"/>
    </row>
    <row r="89" spans="1:11" x14ac:dyDescent="0.25">
      <c r="A89" s="23" t="s">
        <v>847</v>
      </c>
      <c r="B89" s="23">
        <v>186</v>
      </c>
      <c r="C89" s="23">
        <v>187</v>
      </c>
      <c r="D89" s="23" t="s">
        <v>92</v>
      </c>
      <c r="E89" s="24">
        <v>7.13</v>
      </c>
      <c r="F89" s="25">
        <v>1</v>
      </c>
      <c r="G89" s="24">
        <f t="shared" si="2"/>
        <v>7.13</v>
      </c>
      <c r="H89" s="23" t="s">
        <v>759</v>
      </c>
      <c r="I89" s="23" t="s">
        <v>760</v>
      </c>
      <c r="J89" s="23" t="str">
        <f t="shared" si="3"/>
        <v>OK</v>
      </c>
      <c r="K89" s="23"/>
    </row>
    <row r="90" spans="1:11" x14ac:dyDescent="0.25">
      <c r="A90" s="23" t="s">
        <v>848</v>
      </c>
      <c r="B90" s="23">
        <v>188</v>
      </c>
      <c r="C90" s="23">
        <v>189</v>
      </c>
      <c r="D90" s="23" t="s">
        <v>93</v>
      </c>
      <c r="E90" s="24">
        <v>30758.86</v>
      </c>
      <c r="F90" s="25">
        <v>8850</v>
      </c>
      <c r="G90" s="24">
        <f t="shared" si="2"/>
        <v>3.4755774011299434</v>
      </c>
      <c r="H90" s="23" t="s">
        <v>759</v>
      </c>
      <c r="I90" s="23" t="s">
        <v>760</v>
      </c>
      <c r="J90" s="23" t="str">
        <f t="shared" si="3"/>
        <v>OK</v>
      </c>
      <c r="K90" s="23"/>
    </row>
    <row r="91" spans="1:11" ht="26.4" x14ac:dyDescent="0.25">
      <c r="A91" s="23" t="s">
        <v>849</v>
      </c>
      <c r="B91" s="23">
        <v>190</v>
      </c>
      <c r="C91" s="23">
        <v>191</v>
      </c>
      <c r="D91" s="23" t="s">
        <v>94</v>
      </c>
      <c r="E91" s="24">
        <v>13824.1</v>
      </c>
      <c r="F91" s="25">
        <v>675</v>
      </c>
      <c r="G91" s="24">
        <f t="shared" si="2"/>
        <v>20.48014814814815</v>
      </c>
      <c r="H91" s="23" t="s">
        <v>759</v>
      </c>
      <c r="I91" s="23" t="s">
        <v>760</v>
      </c>
      <c r="J91" s="23" t="str">
        <f t="shared" si="3"/>
        <v>OK</v>
      </c>
      <c r="K91" s="23"/>
    </row>
    <row r="92" spans="1:11" x14ac:dyDescent="0.25">
      <c r="A92" s="23" t="s">
        <v>850</v>
      </c>
      <c r="B92" s="23">
        <v>192</v>
      </c>
      <c r="C92" s="23">
        <v>193</v>
      </c>
      <c r="D92" s="23" t="s">
        <v>95</v>
      </c>
      <c r="E92" s="24">
        <v>1124.55</v>
      </c>
      <c r="F92" s="25">
        <v>690</v>
      </c>
      <c r="G92" s="24">
        <f t="shared" si="2"/>
        <v>1.6297826086956522</v>
      </c>
      <c r="H92" s="23" t="s">
        <v>759</v>
      </c>
      <c r="I92" s="23" t="s">
        <v>760</v>
      </c>
      <c r="J92" s="23" t="str">
        <f t="shared" si="3"/>
        <v>OK</v>
      </c>
      <c r="K92" s="23"/>
    </row>
    <row r="93" spans="1:11" x14ac:dyDescent="0.25">
      <c r="A93" s="23" t="s">
        <v>851</v>
      </c>
      <c r="B93" s="23">
        <v>194</v>
      </c>
      <c r="C93" s="23">
        <v>195</v>
      </c>
      <c r="D93" s="23" t="s">
        <v>96</v>
      </c>
      <c r="E93" s="24">
        <v>32293.87</v>
      </c>
      <c r="F93" s="25">
        <v>5310</v>
      </c>
      <c r="G93" s="24">
        <f t="shared" si="2"/>
        <v>6.0817080979284368</v>
      </c>
      <c r="H93" s="23" t="s">
        <v>759</v>
      </c>
      <c r="I93" s="23" t="s">
        <v>760</v>
      </c>
      <c r="J93" s="23" t="str">
        <f t="shared" si="3"/>
        <v>OK</v>
      </c>
      <c r="K93" s="23"/>
    </row>
    <row r="94" spans="1:11" x14ac:dyDescent="0.25">
      <c r="A94" s="23" t="s">
        <v>852</v>
      </c>
      <c r="B94" s="23">
        <v>196</v>
      </c>
      <c r="C94" s="23">
        <v>197</v>
      </c>
      <c r="D94" s="23" t="s">
        <v>97</v>
      </c>
      <c r="E94" s="24">
        <v>8265.9500000000007</v>
      </c>
      <c r="F94" s="25">
        <v>1770</v>
      </c>
      <c r="G94" s="24">
        <f t="shared" si="2"/>
        <v>4.6700282485875713</v>
      </c>
      <c r="H94" s="23" t="s">
        <v>759</v>
      </c>
      <c r="I94" s="23" t="s">
        <v>760</v>
      </c>
      <c r="J94" s="23" t="str">
        <f t="shared" si="3"/>
        <v>OK</v>
      </c>
      <c r="K94" s="23"/>
    </row>
    <row r="95" spans="1:11" x14ac:dyDescent="0.25">
      <c r="A95" s="23" t="s">
        <v>853</v>
      </c>
      <c r="B95" s="23">
        <v>198</v>
      </c>
      <c r="C95" s="23">
        <v>199</v>
      </c>
      <c r="D95" s="23" t="s">
        <v>98</v>
      </c>
      <c r="E95" s="24">
        <v>6216.86</v>
      </c>
      <c r="F95" s="25">
        <v>5190</v>
      </c>
      <c r="G95" s="24">
        <f t="shared" si="2"/>
        <v>1.1978535645472062</v>
      </c>
      <c r="H95" s="23" t="s">
        <v>759</v>
      </c>
      <c r="I95" s="23" t="s">
        <v>760</v>
      </c>
      <c r="J95" s="23" t="str">
        <f t="shared" si="3"/>
        <v>OK</v>
      </c>
      <c r="K95" s="23"/>
    </row>
    <row r="96" spans="1:11" x14ac:dyDescent="0.25">
      <c r="A96" s="23" t="s">
        <v>854</v>
      </c>
      <c r="B96" s="23">
        <v>200</v>
      </c>
      <c r="C96" s="23">
        <v>201</v>
      </c>
      <c r="D96" s="23" t="s">
        <v>99</v>
      </c>
      <c r="E96" s="24">
        <v>100</v>
      </c>
      <c r="F96" s="25">
        <v>40</v>
      </c>
      <c r="G96" s="24">
        <f t="shared" si="2"/>
        <v>2.5</v>
      </c>
      <c r="H96" s="23" t="s">
        <v>759</v>
      </c>
      <c r="I96" s="23" t="s">
        <v>760</v>
      </c>
      <c r="J96" s="23" t="str">
        <f t="shared" si="3"/>
        <v>OK</v>
      </c>
      <c r="K96" s="23"/>
    </row>
    <row r="97" spans="1:11" x14ac:dyDescent="0.25">
      <c r="A97" s="23" t="s">
        <v>855</v>
      </c>
      <c r="B97" s="23">
        <v>202</v>
      </c>
      <c r="C97" s="23">
        <v>203</v>
      </c>
      <c r="D97" s="23" t="s">
        <v>100</v>
      </c>
      <c r="E97" s="24">
        <v>48.09</v>
      </c>
      <c r="F97" s="25">
        <v>100</v>
      </c>
      <c r="G97" s="24">
        <f t="shared" si="2"/>
        <v>0.48090000000000005</v>
      </c>
      <c r="H97" s="23" t="s">
        <v>759</v>
      </c>
      <c r="I97" s="23" t="s">
        <v>760</v>
      </c>
      <c r="J97" s="23" t="str">
        <f t="shared" si="3"/>
        <v>OK</v>
      </c>
      <c r="K97" s="23"/>
    </row>
    <row r="98" spans="1:11" x14ac:dyDescent="0.25">
      <c r="A98" s="23" t="s">
        <v>856</v>
      </c>
      <c r="B98" s="23">
        <v>204</v>
      </c>
      <c r="C98" s="23">
        <v>205</v>
      </c>
      <c r="D98" s="23" t="s">
        <v>101</v>
      </c>
      <c r="E98" s="24">
        <v>278.3</v>
      </c>
      <c r="F98" s="25">
        <v>210</v>
      </c>
      <c r="G98" s="24">
        <f t="shared" si="2"/>
        <v>1.3252380952380953</v>
      </c>
      <c r="H98" s="23" t="s">
        <v>759</v>
      </c>
      <c r="I98" s="23" t="s">
        <v>760</v>
      </c>
      <c r="J98" s="23" t="str">
        <f t="shared" si="3"/>
        <v>OK</v>
      </c>
      <c r="K98" s="23"/>
    </row>
    <row r="99" spans="1:11" x14ac:dyDescent="0.25">
      <c r="A99" s="23" t="s">
        <v>857</v>
      </c>
      <c r="B99" s="23">
        <v>206</v>
      </c>
      <c r="C99" s="23">
        <v>207</v>
      </c>
      <c r="D99" s="23" t="s">
        <v>102</v>
      </c>
      <c r="E99" s="24">
        <v>6896.49</v>
      </c>
      <c r="F99" s="25">
        <v>175</v>
      </c>
      <c r="G99" s="24">
        <f t="shared" si="2"/>
        <v>39.408514285714283</v>
      </c>
      <c r="H99" s="23" t="s">
        <v>759</v>
      </c>
      <c r="I99" s="23" t="s">
        <v>760</v>
      </c>
      <c r="J99" s="23" t="str">
        <f t="shared" si="3"/>
        <v>OK</v>
      </c>
      <c r="K99" s="23"/>
    </row>
    <row r="100" spans="1:11" ht="26.4" x14ac:dyDescent="0.25">
      <c r="A100" s="23" t="s">
        <v>858</v>
      </c>
      <c r="B100" s="23">
        <v>208</v>
      </c>
      <c r="C100" s="23">
        <v>209</v>
      </c>
      <c r="D100" s="23" t="s">
        <v>103</v>
      </c>
      <c r="E100" s="24">
        <v>6042.42</v>
      </c>
      <c r="F100" s="25">
        <v>80</v>
      </c>
      <c r="G100" s="24">
        <f t="shared" si="2"/>
        <v>75.530249999999995</v>
      </c>
      <c r="H100" s="23" t="s">
        <v>759</v>
      </c>
      <c r="I100" s="23" t="s">
        <v>760</v>
      </c>
      <c r="J100" s="23" t="str">
        <f t="shared" si="3"/>
        <v>OK</v>
      </c>
      <c r="K100" s="23"/>
    </row>
    <row r="101" spans="1:11" ht="26.4" x14ac:dyDescent="0.25">
      <c r="A101" s="23" t="s">
        <v>859</v>
      </c>
      <c r="B101" s="23">
        <v>210</v>
      </c>
      <c r="C101" s="23">
        <v>211</v>
      </c>
      <c r="D101" s="23" t="s">
        <v>104</v>
      </c>
      <c r="E101" s="24">
        <v>19759.22</v>
      </c>
      <c r="F101" s="25">
        <v>80</v>
      </c>
      <c r="G101" s="24">
        <f t="shared" si="2"/>
        <v>246.99025</v>
      </c>
      <c r="H101" s="23" t="s">
        <v>759</v>
      </c>
      <c r="I101" s="23" t="s">
        <v>760</v>
      </c>
      <c r="J101" s="23" t="str">
        <f t="shared" si="3"/>
        <v>OK</v>
      </c>
      <c r="K101" s="23"/>
    </row>
    <row r="102" spans="1:11" x14ac:dyDescent="0.25">
      <c r="A102" s="23" t="s">
        <v>860</v>
      </c>
      <c r="B102" s="23">
        <v>212</v>
      </c>
      <c r="C102" s="23">
        <v>213</v>
      </c>
      <c r="D102" s="23" t="s">
        <v>105</v>
      </c>
      <c r="E102" s="24">
        <v>4394.99</v>
      </c>
      <c r="F102" s="25">
        <v>2040</v>
      </c>
      <c r="G102" s="24">
        <f t="shared" si="2"/>
        <v>2.1544068627450979</v>
      </c>
      <c r="H102" s="23" t="s">
        <v>759</v>
      </c>
      <c r="I102" s="23" t="s">
        <v>760</v>
      </c>
      <c r="J102" s="23" t="str">
        <f t="shared" si="3"/>
        <v>OK</v>
      </c>
      <c r="K102" s="23"/>
    </row>
    <row r="103" spans="1:11" x14ac:dyDescent="0.25">
      <c r="A103" s="23" t="s">
        <v>861</v>
      </c>
      <c r="B103" s="23">
        <v>214</v>
      </c>
      <c r="C103" s="23">
        <v>215</v>
      </c>
      <c r="D103" s="23" t="s">
        <v>106</v>
      </c>
      <c r="E103" s="24">
        <v>2306.96</v>
      </c>
      <c r="F103" s="25">
        <v>590</v>
      </c>
      <c r="G103" s="24">
        <f t="shared" si="2"/>
        <v>3.9101016949152543</v>
      </c>
      <c r="H103" s="23" t="s">
        <v>759</v>
      </c>
      <c r="I103" s="23" t="s">
        <v>760</v>
      </c>
      <c r="J103" s="23" t="str">
        <f t="shared" si="3"/>
        <v>OK</v>
      </c>
      <c r="K103" s="23"/>
    </row>
    <row r="104" spans="1:11" x14ac:dyDescent="0.25">
      <c r="A104" s="23" t="s">
        <v>862</v>
      </c>
      <c r="B104" s="23">
        <v>216</v>
      </c>
      <c r="C104" s="23">
        <v>217</v>
      </c>
      <c r="D104" s="23" t="s">
        <v>107</v>
      </c>
      <c r="E104" s="24">
        <v>90.72</v>
      </c>
      <c r="F104" s="25">
        <v>60</v>
      </c>
      <c r="G104" s="24">
        <f t="shared" si="2"/>
        <v>1.512</v>
      </c>
      <c r="H104" s="23" t="s">
        <v>759</v>
      </c>
      <c r="I104" s="23" t="s">
        <v>760</v>
      </c>
      <c r="J104" s="23" t="str">
        <f t="shared" si="3"/>
        <v>OK</v>
      </c>
      <c r="K104" s="23"/>
    </row>
    <row r="105" spans="1:11" x14ac:dyDescent="0.25">
      <c r="A105" s="23" t="s">
        <v>863</v>
      </c>
      <c r="B105" s="23">
        <v>218</v>
      </c>
      <c r="C105" s="23">
        <v>219</v>
      </c>
      <c r="D105" s="23" t="s">
        <v>108</v>
      </c>
      <c r="E105" s="24">
        <v>90.72</v>
      </c>
      <c r="F105" s="25">
        <v>60</v>
      </c>
      <c r="G105" s="24">
        <f t="shared" si="2"/>
        <v>1.512</v>
      </c>
      <c r="H105" s="23" t="s">
        <v>759</v>
      </c>
      <c r="I105" s="23" t="s">
        <v>760</v>
      </c>
      <c r="J105" s="23" t="str">
        <f t="shared" si="3"/>
        <v>OK</v>
      </c>
      <c r="K105" s="23"/>
    </row>
    <row r="106" spans="1:11" x14ac:dyDescent="0.25">
      <c r="A106" s="23" t="s">
        <v>864</v>
      </c>
      <c r="B106" s="23">
        <v>220</v>
      </c>
      <c r="C106" s="23">
        <v>221</v>
      </c>
      <c r="D106" s="23" t="s">
        <v>109</v>
      </c>
      <c r="E106" s="24">
        <v>2087.59</v>
      </c>
      <c r="F106" s="25">
        <v>1360</v>
      </c>
      <c r="G106" s="24">
        <f t="shared" si="2"/>
        <v>1.5349926470588235</v>
      </c>
      <c r="H106" s="23" t="s">
        <v>759</v>
      </c>
      <c r="I106" s="23" t="s">
        <v>760</v>
      </c>
      <c r="J106" s="23" t="str">
        <f t="shared" si="3"/>
        <v>OK</v>
      </c>
      <c r="K106" s="23"/>
    </row>
    <row r="107" spans="1:11" x14ac:dyDescent="0.25">
      <c r="A107" s="23" t="s">
        <v>865</v>
      </c>
      <c r="B107" s="23">
        <v>222</v>
      </c>
      <c r="C107" s="23">
        <v>223</v>
      </c>
      <c r="D107" s="23" t="s">
        <v>110</v>
      </c>
      <c r="E107" s="24">
        <v>49.48</v>
      </c>
      <c r="F107" s="25">
        <v>100</v>
      </c>
      <c r="G107" s="24">
        <f t="shared" si="2"/>
        <v>0.49479999999999996</v>
      </c>
      <c r="H107" s="23" t="s">
        <v>759</v>
      </c>
      <c r="I107" s="23" t="s">
        <v>760</v>
      </c>
      <c r="J107" s="23" t="str">
        <f t="shared" si="3"/>
        <v>OK</v>
      </c>
      <c r="K107" s="23"/>
    </row>
    <row r="108" spans="1:11" x14ac:dyDescent="0.25">
      <c r="A108" s="23" t="s">
        <v>866</v>
      </c>
      <c r="B108" s="23">
        <v>224</v>
      </c>
      <c r="C108" s="23">
        <v>225</v>
      </c>
      <c r="D108" s="23" t="s">
        <v>111</v>
      </c>
      <c r="E108" s="24">
        <v>73.53</v>
      </c>
      <c r="F108" s="25">
        <v>12</v>
      </c>
      <c r="G108" s="24">
        <f t="shared" si="2"/>
        <v>6.1275000000000004</v>
      </c>
      <c r="H108" s="23" t="s">
        <v>759</v>
      </c>
      <c r="I108" s="23" t="s">
        <v>760</v>
      </c>
      <c r="J108" s="23" t="str">
        <f t="shared" si="3"/>
        <v>OK</v>
      </c>
      <c r="K108" s="23"/>
    </row>
    <row r="109" spans="1:11" x14ac:dyDescent="0.25">
      <c r="A109" s="23" t="s">
        <v>867</v>
      </c>
      <c r="B109" s="23">
        <v>226</v>
      </c>
      <c r="C109" s="23">
        <v>227</v>
      </c>
      <c r="D109" s="23" t="s">
        <v>112</v>
      </c>
      <c r="E109" s="24">
        <v>903.64</v>
      </c>
      <c r="F109" s="25">
        <v>13</v>
      </c>
      <c r="G109" s="24">
        <f t="shared" si="2"/>
        <v>69.510769230769228</v>
      </c>
      <c r="H109" s="23" t="s">
        <v>759</v>
      </c>
      <c r="I109" s="23" t="s">
        <v>760</v>
      </c>
      <c r="J109" s="23" t="str">
        <f t="shared" si="3"/>
        <v>OK</v>
      </c>
      <c r="K109" s="23"/>
    </row>
    <row r="110" spans="1:11" ht="26.4" x14ac:dyDescent="0.25">
      <c r="A110" s="23" t="s">
        <v>868</v>
      </c>
      <c r="B110" s="23">
        <v>228</v>
      </c>
      <c r="C110" s="23">
        <v>229</v>
      </c>
      <c r="D110" s="23" t="s">
        <v>113</v>
      </c>
      <c r="E110" s="24">
        <v>76.66</v>
      </c>
      <c r="F110" s="25">
        <v>2</v>
      </c>
      <c r="G110" s="24">
        <f t="shared" si="2"/>
        <v>38.33</v>
      </c>
      <c r="H110" s="23" t="s">
        <v>759</v>
      </c>
      <c r="I110" s="23" t="s">
        <v>760</v>
      </c>
      <c r="J110" s="23" t="str">
        <f t="shared" si="3"/>
        <v>OK</v>
      </c>
      <c r="K110" s="23"/>
    </row>
    <row r="111" spans="1:11" x14ac:dyDescent="0.25">
      <c r="A111" s="23" t="s">
        <v>869</v>
      </c>
      <c r="B111" s="23">
        <v>230</v>
      </c>
      <c r="C111" s="23">
        <v>231</v>
      </c>
      <c r="D111" s="23" t="s">
        <v>114</v>
      </c>
      <c r="E111" s="24">
        <v>11660.43</v>
      </c>
      <c r="F111" s="25">
        <v>2049</v>
      </c>
      <c r="G111" s="24">
        <f t="shared" si="2"/>
        <v>5.6907906295754032</v>
      </c>
      <c r="H111" s="23" t="s">
        <v>759</v>
      </c>
      <c r="I111" s="23" t="s">
        <v>760</v>
      </c>
      <c r="J111" s="23" t="str">
        <f t="shared" si="3"/>
        <v>OK</v>
      </c>
      <c r="K111" s="23"/>
    </row>
    <row r="112" spans="1:11" x14ac:dyDescent="0.25">
      <c r="A112" s="23" t="s">
        <v>870</v>
      </c>
      <c r="B112" s="23">
        <v>232</v>
      </c>
      <c r="C112" s="23">
        <v>233</v>
      </c>
      <c r="D112" s="23" t="s">
        <v>115</v>
      </c>
      <c r="E112" s="24">
        <v>10405.209999999999</v>
      </c>
      <c r="F112" s="25">
        <v>3480</v>
      </c>
      <c r="G112" s="24">
        <f t="shared" si="2"/>
        <v>2.9900028735632183</v>
      </c>
      <c r="H112" s="23" t="s">
        <v>759</v>
      </c>
      <c r="I112" s="23" t="s">
        <v>760</v>
      </c>
      <c r="J112" s="23" t="str">
        <f t="shared" si="3"/>
        <v>OK</v>
      </c>
      <c r="K112" s="23"/>
    </row>
    <row r="113" spans="1:11" x14ac:dyDescent="0.25">
      <c r="A113" s="23" t="s">
        <v>871</v>
      </c>
      <c r="B113" s="23">
        <v>234</v>
      </c>
      <c r="C113" s="23">
        <v>235</v>
      </c>
      <c r="D113" s="23" t="s">
        <v>116</v>
      </c>
      <c r="E113" s="24">
        <v>3381.44</v>
      </c>
      <c r="F113" s="25">
        <v>85</v>
      </c>
      <c r="G113" s="24">
        <f t="shared" si="2"/>
        <v>39.78164705882353</v>
      </c>
      <c r="H113" s="23" t="s">
        <v>759</v>
      </c>
      <c r="I113" s="23" t="s">
        <v>760</v>
      </c>
      <c r="J113" s="23" t="str">
        <f t="shared" si="3"/>
        <v>OK</v>
      </c>
      <c r="K113" s="23"/>
    </row>
    <row r="114" spans="1:11" x14ac:dyDescent="0.25">
      <c r="A114" s="23" t="s">
        <v>872</v>
      </c>
      <c r="B114" s="23">
        <v>236</v>
      </c>
      <c r="C114" s="23">
        <v>237</v>
      </c>
      <c r="D114" s="23" t="s">
        <v>117</v>
      </c>
      <c r="E114" s="24">
        <v>1024.02</v>
      </c>
      <c r="F114" s="25">
        <v>22</v>
      </c>
      <c r="G114" s="24">
        <f t="shared" si="2"/>
        <v>46.546363636363637</v>
      </c>
      <c r="H114" s="23" t="s">
        <v>759</v>
      </c>
      <c r="I114" s="23" t="s">
        <v>760</v>
      </c>
      <c r="J114" s="23" t="str">
        <f t="shared" si="3"/>
        <v>OK</v>
      </c>
      <c r="K114" s="23"/>
    </row>
    <row r="115" spans="1:11" x14ac:dyDescent="0.25">
      <c r="A115" s="23" t="s">
        <v>873</v>
      </c>
      <c r="B115" s="23">
        <v>238</v>
      </c>
      <c r="C115" s="23">
        <v>239</v>
      </c>
      <c r="D115" s="23" t="s">
        <v>118</v>
      </c>
      <c r="E115" s="24">
        <v>418.42</v>
      </c>
      <c r="F115" s="25">
        <v>9</v>
      </c>
      <c r="G115" s="24">
        <f t="shared" si="2"/>
        <v>46.49111111111111</v>
      </c>
      <c r="H115" s="23" t="s">
        <v>759</v>
      </c>
      <c r="I115" s="23" t="s">
        <v>760</v>
      </c>
      <c r="J115" s="23" t="str">
        <f t="shared" si="3"/>
        <v>OK</v>
      </c>
      <c r="K115" s="23"/>
    </row>
    <row r="116" spans="1:11" x14ac:dyDescent="0.25">
      <c r="A116" s="23" t="s">
        <v>874</v>
      </c>
      <c r="B116" s="23">
        <v>240</v>
      </c>
      <c r="C116" s="23">
        <v>241</v>
      </c>
      <c r="D116" s="23" t="s">
        <v>119</v>
      </c>
      <c r="E116" s="24">
        <v>675</v>
      </c>
      <c r="F116" s="25">
        <v>5000</v>
      </c>
      <c r="G116" s="24">
        <f t="shared" si="2"/>
        <v>0.13500000000000001</v>
      </c>
      <c r="H116" s="23" t="s">
        <v>759</v>
      </c>
      <c r="I116" s="23" t="s">
        <v>760</v>
      </c>
      <c r="J116" s="23" t="str">
        <f t="shared" si="3"/>
        <v>OK</v>
      </c>
      <c r="K116" s="23"/>
    </row>
    <row r="117" spans="1:11" ht="26.4" x14ac:dyDescent="0.25">
      <c r="A117" s="23" t="s">
        <v>875</v>
      </c>
      <c r="B117" s="23">
        <v>242</v>
      </c>
      <c r="C117" s="23">
        <v>243</v>
      </c>
      <c r="D117" s="23" t="s">
        <v>120</v>
      </c>
      <c r="E117" s="24">
        <v>600</v>
      </c>
      <c r="F117" s="25">
        <v>400</v>
      </c>
      <c r="G117" s="24">
        <f t="shared" si="2"/>
        <v>1.5</v>
      </c>
      <c r="H117" s="23" t="s">
        <v>759</v>
      </c>
      <c r="I117" s="23" t="s">
        <v>760</v>
      </c>
      <c r="J117" s="23" t="str">
        <f t="shared" si="3"/>
        <v>OK</v>
      </c>
      <c r="K117" s="23"/>
    </row>
    <row r="118" spans="1:11" x14ac:dyDescent="0.25">
      <c r="A118" s="23" t="s">
        <v>876</v>
      </c>
      <c r="B118" s="23">
        <v>244</v>
      </c>
      <c r="C118" s="23">
        <v>245</v>
      </c>
      <c r="D118" s="23" t="s">
        <v>877</v>
      </c>
      <c r="E118" s="24">
        <v>19080</v>
      </c>
      <c r="F118" s="25">
        <v>400</v>
      </c>
      <c r="G118" s="24">
        <f t="shared" si="2"/>
        <v>47.7</v>
      </c>
      <c r="H118" s="23" t="s">
        <v>759</v>
      </c>
      <c r="I118" s="23" t="s">
        <v>760</v>
      </c>
      <c r="J118" s="23" t="str">
        <f t="shared" si="3"/>
        <v>OK</v>
      </c>
      <c r="K118" s="23"/>
    </row>
    <row r="119" spans="1:11" x14ac:dyDescent="0.25">
      <c r="A119" s="23" t="s">
        <v>878</v>
      </c>
      <c r="B119" s="23">
        <v>246</v>
      </c>
      <c r="C119" s="23">
        <v>247</v>
      </c>
      <c r="D119" s="23" t="s">
        <v>122</v>
      </c>
      <c r="E119" s="24">
        <v>6629.04</v>
      </c>
      <c r="F119" s="25">
        <v>600</v>
      </c>
      <c r="G119" s="24">
        <f t="shared" si="2"/>
        <v>11.048399999999999</v>
      </c>
      <c r="H119" s="23" t="s">
        <v>759</v>
      </c>
      <c r="I119" s="23" t="s">
        <v>760</v>
      </c>
      <c r="J119" s="23" t="str">
        <f t="shared" si="3"/>
        <v>OK</v>
      </c>
      <c r="K119" s="23"/>
    </row>
    <row r="120" spans="1:11" x14ac:dyDescent="0.25">
      <c r="A120" s="23" t="s">
        <v>879</v>
      </c>
      <c r="B120" s="23">
        <v>248</v>
      </c>
      <c r="C120" s="23">
        <v>249</v>
      </c>
      <c r="D120" s="23" t="s">
        <v>123</v>
      </c>
      <c r="E120" s="24">
        <v>1344.6</v>
      </c>
      <c r="F120" s="25">
        <v>60</v>
      </c>
      <c r="G120" s="24">
        <f t="shared" si="2"/>
        <v>22.41</v>
      </c>
      <c r="H120" s="23" t="s">
        <v>759</v>
      </c>
      <c r="I120" s="23" t="s">
        <v>760</v>
      </c>
      <c r="J120" s="23" t="str">
        <f t="shared" si="3"/>
        <v>OK</v>
      </c>
      <c r="K120" s="23"/>
    </row>
    <row r="121" spans="1:11" x14ac:dyDescent="0.25">
      <c r="A121" s="23" t="s">
        <v>880</v>
      </c>
      <c r="B121" s="23">
        <v>250</v>
      </c>
      <c r="C121" s="23">
        <v>251</v>
      </c>
      <c r="D121" s="23" t="s">
        <v>124</v>
      </c>
      <c r="E121" s="24">
        <v>4197.6000000000004</v>
      </c>
      <c r="F121" s="25">
        <v>88</v>
      </c>
      <c r="G121" s="24">
        <f t="shared" si="2"/>
        <v>47.7</v>
      </c>
      <c r="H121" s="23" t="s">
        <v>759</v>
      </c>
      <c r="I121" s="23" t="s">
        <v>760</v>
      </c>
      <c r="J121" s="23" t="str">
        <f t="shared" si="3"/>
        <v>OK</v>
      </c>
      <c r="K121" s="23"/>
    </row>
    <row r="122" spans="1:11" x14ac:dyDescent="0.25">
      <c r="A122" s="23" t="s">
        <v>881</v>
      </c>
      <c r="B122" s="23">
        <v>252</v>
      </c>
      <c r="C122" s="23">
        <v>253</v>
      </c>
      <c r="D122" s="23" t="s">
        <v>125</v>
      </c>
      <c r="E122" s="24">
        <v>1613.52</v>
      </c>
      <c r="F122" s="25">
        <v>72</v>
      </c>
      <c r="G122" s="24">
        <f t="shared" si="2"/>
        <v>22.41</v>
      </c>
      <c r="H122" s="23" t="s">
        <v>759</v>
      </c>
      <c r="I122" s="23" t="s">
        <v>760</v>
      </c>
      <c r="J122" s="23" t="str">
        <f t="shared" si="3"/>
        <v>OK</v>
      </c>
      <c r="K122" s="23"/>
    </row>
    <row r="123" spans="1:11" x14ac:dyDescent="0.25">
      <c r="A123" s="23" t="s">
        <v>882</v>
      </c>
      <c r="B123" s="23">
        <v>254</v>
      </c>
      <c r="C123" s="23">
        <v>255</v>
      </c>
      <c r="D123" s="23" t="s">
        <v>126</v>
      </c>
      <c r="E123" s="24">
        <v>491.18</v>
      </c>
      <c r="F123" s="25">
        <v>100</v>
      </c>
      <c r="G123" s="24">
        <f t="shared" si="2"/>
        <v>4.9118000000000004</v>
      </c>
      <c r="H123" s="23" t="s">
        <v>759</v>
      </c>
      <c r="I123" s="23" t="s">
        <v>760</v>
      </c>
      <c r="J123" s="23" t="str">
        <f t="shared" si="3"/>
        <v>OK</v>
      </c>
      <c r="K123" s="23"/>
    </row>
    <row r="124" spans="1:11" x14ac:dyDescent="0.25">
      <c r="A124" s="23" t="s">
        <v>883</v>
      </c>
      <c r="B124" s="23">
        <v>256</v>
      </c>
      <c r="C124" s="23">
        <v>257</v>
      </c>
      <c r="D124" s="23" t="s">
        <v>127</v>
      </c>
      <c r="E124" s="24">
        <v>2406.14</v>
      </c>
      <c r="F124" s="25">
        <v>620</v>
      </c>
      <c r="G124" s="24">
        <f t="shared" si="2"/>
        <v>3.8808709677419353</v>
      </c>
      <c r="H124" s="23" t="s">
        <v>759</v>
      </c>
      <c r="I124" s="23" t="s">
        <v>760</v>
      </c>
      <c r="J124" s="23" t="str">
        <f t="shared" si="3"/>
        <v>OK</v>
      </c>
      <c r="K124" s="23"/>
    </row>
    <row r="125" spans="1:11" x14ac:dyDescent="0.25">
      <c r="A125" s="23" t="s">
        <v>884</v>
      </c>
      <c r="B125" s="23">
        <v>258</v>
      </c>
      <c r="C125" s="23">
        <v>259</v>
      </c>
      <c r="D125" s="23" t="s">
        <v>128</v>
      </c>
      <c r="E125" s="24">
        <v>387.81</v>
      </c>
      <c r="F125" s="25">
        <v>60</v>
      </c>
      <c r="G125" s="24">
        <f t="shared" si="2"/>
        <v>6.4634999999999998</v>
      </c>
      <c r="H125" s="23" t="s">
        <v>759</v>
      </c>
      <c r="I125" s="23" t="s">
        <v>760</v>
      </c>
      <c r="J125" s="23" t="str">
        <f t="shared" si="3"/>
        <v>OK</v>
      </c>
      <c r="K125" s="23"/>
    </row>
    <row r="126" spans="1:11" x14ac:dyDescent="0.25">
      <c r="A126" s="23" t="s">
        <v>885</v>
      </c>
      <c r="B126" s="23">
        <v>260</v>
      </c>
      <c r="C126" s="23">
        <v>261</v>
      </c>
      <c r="D126" s="23" t="s">
        <v>129</v>
      </c>
      <c r="E126" s="24">
        <v>15271.48</v>
      </c>
      <c r="F126" s="25">
        <v>2040</v>
      </c>
      <c r="G126" s="24">
        <f t="shared" si="2"/>
        <v>7.4860196078431374</v>
      </c>
      <c r="H126" s="23" t="s">
        <v>759</v>
      </c>
      <c r="I126" s="23" t="s">
        <v>760</v>
      </c>
      <c r="J126" s="23" t="str">
        <f t="shared" si="3"/>
        <v>OK</v>
      </c>
      <c r="K126" s="23"/>
    </row>
    <row r="127" spans="1:11" x14ac:dyDescent="0.25">
      <c r="A127" s="23" t="s">
        <v>886</v>
      </c>
      <c r="B127" s="23">
        <v>262</v>
      </c>
      <c r="C127" s="23">
        <v>263</v>
      </c>
      <c r="D127" s="23" t="s">
        <v>130</v>
      </c>
      <c r="E127" s="24">
        <v>473.13</v>
      </c>
      <c r="F127" s="25">
        <v>60</v>
      </c>
      <c r="G127" s="24">
        <f t="shared" si="2"/>
        <v>7.8854999999999995</v>
      </c>
      <c r="H127" s="23" t="s">
        <v>759</v>
      </c>
      <c r="I127" s="23" t="s">
        <v>760</v>
      </c>
      <c r="J127" s="23" t="str">
        <f t="shared" si="3"/>
        <v>OK</v>
      </c>
      <c r="K127" s="23"/>
    </row>
    <row r="128" spans="1:11" x14ac:dyDescent="0.25">
      <c r="A128" s="23" t="s">
        <v>887</v>
      </c>
      <c r="B128" s="23">
        <v>264</v>
      </c>
      <c r="C128" s="23">
        <v>265</v>
      </c>
      <c r="D128" s="23" t="s">
        <v>131</v>
      </c>
      <c r="E128" s="24">
        <v>1134.4000000000001</v>
      </c>
      <c r="F128" s="25">
        <v>42</v>
      </c>
      <c r="G128" s="24">
        <f t="shared" si="2"/>
        <v>27.009523809523813</v>
      </c>
      <c r="H128" s="23" t="s">
        <v>759</v>
      </c>
      <c r="I128" s="23" t="s">
        <v>760</v>
      </c>
      <c r="J128" s="23" t="str">
        <f t="shared" si="3"/>
        <v>OK</v>
      </c>
      <c r="K128" s="23"/>
    </row>
    <row r="129" spans="1:11" x14ac:dyDescent="0.25">
      <c r="A129" s="23" t="s">
        <v>888</v>
      </c>
      <c r="B129" s="23">
        <v>266</v>
      </c>
      <c r="C129" s="23">
        <v>267</v>
      </c>
      <c r="D129" s="23" t="s">
        <v>132</v>
      </c>
      <c r="E129" s="24">
        <v>204.11</v>
      </c>
      <c r="F129" s="25">
        <v>8</v>
      </c>
      <c r="G129" s="24">
        <f t="shared" si="2"/>
        <v>25.513750000000002</v>
      </c>
      <c r="H129" s="23" t="s">
        <v>759</v>
      </c>
      <c r="I129" s="23" t="s">
        <v>760</v>
      </c>
      <c r="J129" s="23" t="str">
        <f t="shared" si="3"/>
        <v>OK</v>
      </c>
      <c r="K129" s="23"/>
    </row>
    <row r="130" spans="1:11" x14ac:dyDescent="0.25">
      <c r="A130" s="23" t="s">
        <v>889</v>
      </c>
      <c r="B130" s="23">
        <v>268</v>
      </c>
      <c r="C130" s="23">
        <v>269</v>
      </c>
      <c r="D130" s="23" t="s">
        <v>133</v>
      </c>
      <c r="E130" s="24">
        <v>1030.08</v>
      </c>
      <c r="F130" s="25">
        <v>840</v>
      </c>
      <c r="G130" s="24">
        <f t="shared" ref="G130:G193" si="4">IFERROR(E130/F130,"")</f>
        <v>1.2262857142857142</v>
      </c>
      <c r="H130" s="23" t="s">
        <v>759</v>
      </c>
      <c r="I130" s="23" t="s">
        <v>760</v>
      </c>
      <c r="J130" s="23" t="str">
        <f t="shared" ref="J130:J193" si="5">IF(OR(E130="",F130=""),"LIPSESC DATE",IF(F130=0,"CANTITATE 0","OK"))</f>
        <v>OK</v>
      </c>
      <c r="K130" s="23"/>
    </row>
    <row r="131" spans="1:11" x14ac:dyDescent="0.25">
      <c r="A131" s="23" t="s">
        <v>890</v>
      </c>
      <c r="B131" s="23">
        <v>270</v>
      </c>
      <c r="C131" s="23">
        <v>271</v>
      </c>
      <c r="D131" s="23" t="s">
        <v>134</v>
      </c>
      <c r="E131" s="24">
        <v>358.51</v>
      </c>
      <c r="F131" s="25">
        <v>56</v>
      </c>
      <c r="G131" s="24">
        <f t="shared" si="4"/>
        <v>6.4019642857142856</v>
      </c>
      <c r="H131" s="23" t="s">
        <v>759</v>
      </c>
      <c r="I131" s="23" t="s">
        <v>760</v>
      </c>
      <c r="J131" s="23" t="str">
        <f t="shared" si="5"/>
        <v>OK</v>
      </c>
      <c r="K131" s="23"/>
    </row>
    <row r="132" spans="1:11" ht="26.4" x14ac:dyDescent="0.25">
      <c r="A132" s="23" t="s">
        <v>891</v>
      </c>
      <c r="B132" s="23">
        <v>272</v>
      </c>
      <c r="C132" s="23">
        <v>273</v>
      </c>
      <c r="D132" s="23" t="s">
        <v>135</v>
      </c>
      <c r="E132" s="24">
        <v>164.55</v>
      </c>
      <c r="F132" s="25">
        <v>15</v>
      </c>
      <c r="G132" s="24">
        <f t="shared" si="4"/>
        <v>10.97</v>
      </c>
      <c r="H132" s="23" t="s">
        <v>759</v>
      </c>
      <c r="I132" s="23" t="s">
        <v>760</v>
      </c>
      <c r="J132" s="23" t="str">
        <f t="shared" si="5"/>
        <v>OK</v>
      </c>
      <c r="K132" s="23"/>
    </row>
    <row r="133" spans="1:11" x14ac:dyDescent="0.25">
      <c r="A133" s="23" t="s">
        <v>892</v>
      </c>
      <c r="B133" s="23">
        <v>274</v>
      </c>
      <c r="C133" s="23">
        <v>275</v>
      </c>
      <c r="D133" s="23" t="s">
        <v>136</v>
      </c>
      <c r="E133" s="24">
        <v>520.66</v>
      </c>
      <c r="F133" s="25">
        <v>3000</v>
      </c>
      <c r="G133" s="24">
        <f t="shared" si="4"/>
        <v>0.17355333333333331</v>
      </c>
      <c r="H133" s="23" t="s">
        <v>759</v>
      </c>
      <c r="I133" s="23" t="s">
        <v>760</v>
      </c>
      <c r="J133" s="23" t="str">
        <f t="shared" si="5"/>
        <v>OK</v>
      </c>
      <c r="K133" s="23"/>
    </row>
    <row r="134" spans="1:11" x14ac:dyDescent="0.25">
      <c r="A134" s="23" t="s">
        <v>893</v>
      </c>
      <c r="B134" s="23">
        <v>276</v>
      </c>
      <c r="C134" s="23">
        <v>277</v>
      </c>
      <c r="D134" s="23" t="s">
        <v>137</v>
      </c>
      <c r="E134" s="24">
        <v>1535.11</v>
      </c>
      <c r="F134" s="25">
        <v>3090</v>
      </c>
      <c r="G134" s="24">
        <f t="shared" si="4"/>
        <v>0.49679935275080905</v>
      </c>
      <c r="H134" s="23" t="s">
        <v>759</v>
      </c>
      <c r="I134" s="23" t="s">
        <v>760</v>
      </c>
      <c r="J134" s="23" t="str">
        <f t="shared" si="5"/>
        <v>OK</v>
      </c>
      <c r="K134" s="23"/>
    </row>
    <row r="135" spans="1:11" x14ac:dyDescent="0.25">
      <c r="A135" s="23" t="s">
        <v>894</v>
      </c>
      <c r="B135" s="23">
        <v>278</v>
      </c>
      <c r="C135" s="23">
        <v>279</v>
      </c>
      <c r="D135" s="23" t="s">
        <v>138</v>
      </c>
      <c r="E135" s="24">
        <v>905.01</v>
      </c>
      <c r="F135" s="25">
        <v>2000</v>
      </c>
      <c r="G135" s="24">
        <f t="shared" si="4"/>
        <v>0.45250499999999999</v>
      </c>
      <c r="H135" s="23" t="s">
        <v>759</v>
      </c>
      <c r="I135" s="23" t="s">
        <v>760</v>
      </c>
      <c r="J135" s="23" t="str">
        <f t="shared" si="5"/>
        <v>OK</v>
      </c>
      <c r="K135" s="23"/>
    </row>
    <row r="136" spans="1:11" x14ac:dyDescent="0.25">
      <c r="A136" s="23" t="s">
        <v>895</v>
      </c>
      <c r="B136" s="23">
        <v>280</v>
      </c>
      <c r="C136" s="23">
        <v>281</v>
      </c>
      <c r="D136" s="23" t="s">
        <v>139</v>
      </c>
      <c r="E136" s="24">
        <v>304.27999999999997</v>
      </c>
      <c r="F136" s="25">
        <v>140</v>
      </c>
      <c r="G136" s="24">
        <f t="shared" si="4"/>
        <v>2.173428571428571</v>
      </c>
      <c r="H136" s="23" t="s">
        <v>759</v>
      </c>
      <c r="I136" s="23" t="s">
        <v>760</v>
      </c>
      <c r="J136" s="23" t="str">
        <f t="shared" si="5"/>
        <v>OK</v>
      </c>
      <c r="K136" s="23"/>
    </row>
    <row r="137" spans="1:11" ht="26.4" x14ac:dyDescent="0.25">
      <c r="A137" s="23" t="s">
        <v>896</v>
      </c>
      <c r="B137" s="23">
        <v>282</v>
      </c>
      <c r="C137" s="23">
        <v>283</v>
      </c>
      <c r="D137" s="23" t="s">
        <v>140</v>
      </c>
      <c r="E137" s="24">
        <v>75.599999999999994</v>
      </c>
      <c r="F137" s="25">
        <v>2</v>
      </c>
      <c r="G137" s="24">
        <f t="shared" si="4"/>
        <v>37.799999999999997</v>
      </c>
      <c r="H137" s="23" t="s">
        <v>759</v>
      </c>
      <c r="I137" s="23" t="s">
        <v>760</v>
      </c>
      <c r="J137" s="23" t="str">
        <f t="shared" si="5"/>
        <v>OK</v>
      </c>
      <c r="K137" s="23"/>
    </row>
    <row r="138" spans="1:11" x14ac:dyDescent="0.25">
      <c r="A138" s="23" t="s">
        <v>897</v>
      </c>
      <c r="B138" s="23">
        <v>284</v>
      </c>
      <c r="C138" s="23">
        <v>285</v>
      </c>
      <c r="D138" s="23" t="s">
        <v>141</v>
      </c>
      <c r="E138" s="24">
        <v>25.08</v>
      </c>
      <c r="F138" s="25">
        <v>20</v>
      </c>
      <c r="G138" s="24">
        <f t="shared" si="4"/>
        <v>1.254</v>
      </c>
      <c r="H138" s="23" t="s">
        <v>759</v>
      </c>
      <c r="I138" s="23" t="s">
        <v>760</v>
      </c>
      <c r="J138" s="23" t="str">
        <f t="shared" si="5"/>
        <v>OK</v>
      </c>
      <c r="K138" s="23"/>
    </row>
    <row r="139" spans="1:11" x14ac:dyDescent="0.25">
      <c r="A139" s="23" t="s">
        <v>898</v>
      </c>
      <c r="B139" s="23">
        <v>286</v>
      </c>
      <c r="C139" s="23">
        <v>287</v>
      </c>
      <c r="D139" s="23" t="s">
        <v>142</v>
      </c>
      <c r="E139" s="24">
        <v>886.19</v>
      </c>
      <c r="F139" s="25">
        <v>2940</v>
      </c>
      <c r="G139" s="24">
        <f t="shared" si="4"/>
        <v>0.30142517006802722</v>
      </c>
      <c r="H139" s="23" t="s">
        <v>759</v>
      </c>
      <c r="I139" s="23" t="s">
        <v>760</v>
      </c>
      <c r="J139" s="23" t="str">
        <f t="shared" si="5"/>
        <v>OK</v>
      </c>
      <c r="K139" s="23"/>
    </row>
    <row r="140" spans="1:11" x14ac:dyDescent="0.25">
      <c r="A140" s="23" t="s">
        <v>899</v>
      </c>
      <c r="B140" s="23">
        <v>288</v>
      </c>
      <c r="C140" s="23">
        <v>289</v>
      </c>
      <c r="D140" s="23" t="s">
        <v>143</v>
      </c>
      <c r="E140" s="24">
        <v>960.57</v>
      </c>
      <c r="F140" s="25">
        <v>4050</v>
      </c>
      <c r="G140" s="24">
        <f t="shared" si="4"/>
        <v>0.23717777777777779</v>
      </c>
      <c r="H140" s="23" t="s">
        <v>759</v>
      </c>
      <c r="I140" s="23" t="s">
        <v>760</v>
      </c>
      <c r="J140" s="23" t="str">
        <f t="shared" si="5"/>
        <v>OK</v>
      </c>
      <c r="K140" s="23"/>
    </row>
    <row r="141" spans="1:11" x14ac:dyDescent="0.25">
      <c r="A141" s="23" t="s">
        <v>900</v>
      </c>
      <c r="B141" s="23">
        <v>290</v>
      </c>
      <c r="C141" s="23">
        <v>291</v>
      </c>
      <c r="D141" s="23" t="s">
        <v>144</v>
      </c>
      <c r="E141" s="24">
        <v>48</v>
      </c>
      <c r="F141" s="25">
        <v>120</v>
      </c>
      <c r="G141" s="24">
        <f t="shared" si="4"/>
        <v>0.4</v>
      </c>
      <c r="H141" s="23" t="s">
        <v>759</v>
      </c>
      <c r="I141" s="23" t="s">
        <v>760</v>
      </c>
      <c r="J141" s="23" t="str">
        <f t="shared" si="5"/>
        <v>OK</v>
      </c>
      <c r="K141" s="23"/>
    </row>
    <row r="142" spans="1:11" x14ac:dyDescent="0.25">
      <c r="A142" s="23" t="s">
        <v>901</v>
      </c>
      <c r="B142" s="23">
        <v>292</v>
      </c>
      <c r="C142" s="23">
        <v>293</v>
      </c>
      <c r="D142" s="23" t="s">
        <v>145</v>
      </c>
      <c r="E142" s="24">
        <v>216.03</v>
      </c>
      <c r="F142" s="25">
        <v>540</v>
      </c>
      <c r="G142" s="24">
        <f t="shared" si="4"/>
        <v>0.40005555555555555</v>
      </c>
      <c r="H142" s="23" t="s">
        <v>759</v>
      </c>
      <c r="I142" s="23" t="s">
        <v>760</v>
      </c>
      <c r="J142" s="23" t="str">
        <f t="shared" si="5"/>
        <v>OK</v>
      </c>
      <c r="K142" s="23"/>
    </row>
    <row r="143" spans="1:11" x14ac:dyDescent="0.25">
      <c r="A143" s="23" t="s">
        <v>902</v>
      </c>
      <c r="B143" s="23">
        <v>294</v>
      </c>
      <c r="C143" s="23">
        <v>295</v>
      </c>
      <c r="D143" s="23" t="s">
        <v>146</v>
      </c>
      <c r="E143" s="24">
        <v>32.14</v>
      </c>
      <c r="F143" s="25">
        <v>5</v>
      </c>
      <c r="G143" s="24">
        <f t="shared" si="4"/>
        <v>6.4279999999999999</v>
      </c>
      <c r="H143" s="23" t="s">
        <v>759</v>
      </c>
      <c r="I143" s="23" t="s">
        <v>760</v>
      </c>
      <c r="J143" s="23" t="str">
        <f t="shared" si="5"/>
        <v>OK</v>
      </c>
      <c r="K143" s="23"/>
    </row>
    <row r="144" spans="1:11" x14ac:dyDescent="0.25">
      <c r="A144" s="23" t="s">
        <v>903</v>
      </c>
      <c r="B144" s="23">
        <v>296</v>
      </c>
      <c r="C144" s="23">
        <v>297</v>
      </c>
      <c r="D144" s="23" t="s">
        <v>147</v>
      </c>
      <c r="E144" s="24">
        <v>116.23</v>
      </c>
      <c r="F144" s="25">
        <v>6</v>
      </c>
      <c r="G144" s="24">
        <f t="shared" si="4"/>
        <v>19.371666666666666</v>
      </c>
      <c r="H144" s="23" t="s">
        <v>759</v>
      </c>
      <c r="I144" s="23" t="s">
        <v>760</v>
      </c>
      <c r="J144" s="23" t="str">
        <f t="shared" si="5"/>
        <v>OK</v>
      </c>
      <c r="K144" s="23"/>
    </row>
    <row r="145" spans="1:11" x14ac:dyDescent="0.25">
      <c r="A145" s="23" t="s">
        <v>904</v>
      </c>
      <c r="B145" s="23">
        <v>298</v>
      </c>
      <c r="C145" s="23">
        <v>299</v>
      </c>
      <c r="D145" s="23" t="s">
        <v>148</v>
      </c>
      <c r="E145" s="24">
        <v>210.24</v>
      </c>
      <c r="F145" s="25">
        <v>11</v>
      </c>
      <c r="G145" s="24">
        <f t="shared" si="4"/>
        <v>19.112727272727273</v>
      </c>
      <c r="H145" s="23" t="s">
        <v>759</v>
      </c>
      <c r="I145" s="23" t="s">
        <v>760</v>
      </c>
      <c r="J145" s="23" t="str">
        <f t="shared" si="5"/>
        <v>OK</v>
      </c>
      <c r="K145" s="23"/>
    </row>
    <row r="146" spans="1:11" ht="26.4" x14ac:dyDescent="0.25">
      <c r="A146" s="23" t="s">
        <v>905</v>
      </c>
      <c r="B146" s="23">
        <v>300</v>
      </c>
      <c r="C146" s="23">
        <v>301</v>
      </c>
      <c r="D146" s="23" t="s">
        <v>149</v>
      </c>
      <c r="E146" s="24">
        <v>181.44</v>
      </c>
      <c r="F146" s="25">
        <v>8</v>
      </c>
      <c r="G146" s="24">
        <f t="shared" si="4"/>
        <v>22.68</v>
      </c>
      <c r="H146" s="23" t="s">
        <v>759</v>
      </c>
      <c r="I146" s="23" t="s">
        <v>760</v>
      </c>
      <c r="J146" s="23" t="str">
        <f t="shared" si="5"/>
        <v>OK</v>
      </c>
      <c r="K146" s="23"/>
    </row>
    <row r="147" spans="1:11" x14ac:dyDescent="0.25">
      <c r="A147" s="23" t="s">
        <v>906</v>
      </c>
      <c r="B147" s="23">
        <v>302</v>
      </c>
      <c r="C147" s="23">
        <v>303</v>
      </c>
      <c r="D147" s="23" t="s">
        <v>150</v>
      </c>
      <c r="E147" s="24">
        <v>75.599999999999994</v>
      </c>
      <c r="F147" s="25">
        <v>250</v>
      </c>
      <c r="G147" s="24">
        <f t="shared" si="4"/>
        <v>0.3024</v>
      </c>
      <c r="H147" s="23" t="s">
        <v>759</v>
      </c>
      <c r="I147" s="23" t="s">
        <v>760</v>
      </c>
      <c r="J147" s="23" t="str">
        <f t="shared" si="5"/>
        <v>OK</v>
      </c>
      <c r="K147" s="23"/>
    </row>
    <row r="148" spans="1:11" x14ac:dyDescent="0.25">
      <c r="A148" s="23" t="s">
        <v>907</v>
      </c>
      <c r="B148" s="23">
        <v>304</v>
      </c>
      <c r="C148" s="23">
        <v>305</v>
      </c>
      <c r="D148" s="23" t="s">
        <v>151</v>
      </c>
      <c r="E148" s="24">
        <v>903.96</v>
      </c>
      <c r="F148" s="25">
        <v>4400</v>
      </c>
      <c r="G148" s="24">
        <f t="shared" si="4"/>
        <v>0.20544545454545454</v>
      </c>
      <c r="H148" s="23" t="s">
        <v>759</v>
      </c>
      <c r="I148" s="23" t="s">
        <v>760</v>
      </c>
      <c r="J148" s="23" t="str">
        <f t="shared" si="5"/>
        <v>OK</v>
      </c>
      <c r="K148" s="23"/>
    </row>
    <row r="149" spans="1:11" x14ac:dyDescent="0.25">
      <c r="A149" s="23" t="s">
        <v>908</v>
      </c>
      <c r="B149" s="23">
        <v>306</v>
      </c>
      <c r="C149" s="23">
        <v>307</v>
      </c>
      <c r="D149" s="23" t="s">
        <v>152</v>
      </c>
      <c r="E149" s="24">
        <v>222.24</v>
      </c>
      <c r="F149" s="25">
        <v>60</v>
      </c>
      <c r="G149" s="24">
        <f t="shared" si="4"/>
        <v>3.7040000000000002</v>
      </c>
      <c r="H149" s="23" t="s">
        <v>759</v>
      </c>
      <c r="I149" s="23" t="s">
        <v>760</v>
      </c>
      <c r="J149" s="23" t="str">
        <f t="shared" si="5"/>
        <v>OK</v>
      </c>
      <c r="K149" s="23"/>
    </row>
    <row r="150" spans="1:11" x14ac:dyDescent="0.25">
      <c r="A150" s="23" t="s">
        <v>909</v>
      </c>
      <c r="B150" s="23">
        <v>308</v>
      </c>
      <c r="C150" s="23">
        <v>309</v>
      </c>
      <c r="D150" s="23" t="s">
        <v>153</v>
      </c>
      <c r="E150" s="24">
        <v>148</v>
      </c>
      <c r="F150" s="25">
        <v>50</v>
      </c>
      <c r="G150" s="24">
        <f t="shared" si="4"/>
        <v>2.96</v>
      </c>
      <c r="H150" s="23" t="s">
        <v>759</v>
      </c>
      <c r="I150" s="23" t="s">
        <v>760</v>
      </c>
      <c r="J150" s="23" t="str">
        <f t="shared" si="5"/>
        <v>OK</v>
      </c>
      <c r="K150" s="23"/>
    </row>
    <row r="151" spans="1:11" x14ac:dyDescent="0.25">
      <c r="A151" s="23" t="s">
        <v>910</v>
      </c>
      <c r="B151" s="23">
        <v>310</v>
      </c>
      <c r="C151" s="23">
        <v>311</v>
      </c>
      <c r="D151" s="23" t="s">
        <v>154</v>
      </c>
      <c r="E151" s="24">
        <v>2359.8000000000002</v>
      </c>
      <c r="F151" s="25">
        <v>1140</v>
      </c>
      <c r="G151" s="24">
        <f t="shared" si="4"/>
        <v>2.0700000000000003</v>
      </c>
      <c r="H151" s="23" t="s">
        <v>759</v>
      </c>
      <c r="I151" s="23" t="s">
        <v>760</v>
      </c>
      <c r="J151" s="23" t="str">
        <f t="shared" si="5"/>
        <v>OK</v>
      </c>
      <c r="K151" s="23"/>
    </row>
    <row r="152" spans="1:11" x14ac:dyDescent="0.25">
      <c r="A152" s="23" t="s">
        <v>911</v>
      </c>
      <c r="B152" s="23">
        <v>312</v>
      </c>
      <c r="C152" s="23">
        <v>313</v>
      </c>
      <c r="D152" s="23" t="s">
        <v>155</v>
      </c>
      <c r="E152" s="24">
        <v>596</v>
      </c>
      <c r="F152" s="25">
        <v>40</v>
      </c>
      <c r="G152" s="24">
        <f t="shared" si="4"/>
        <v>14.9</v>
      </c>
      <c r="H152" s="23" t="s">
        <v>759</v>
      </c>
      <c r="I152" s="23" t="s">
        <v>760</v>
      </c>
      <c r="J152" s="23" t="str">
        <f t="shared" si="5"/>
        <v>OK</v>
      </c>
      <c r="K152" s="23"/>
    </row>
    <row r="153" spans="1:11" x14ac:dyDescent="0.25">
      <c r="A153" s="23" t="s">
        <v>912</v>
      </c>
      <c r="B153" s="23">
        <v>314</v>
      </c>
      <c r="C153" s="23">
        <v>315</v>
      </c>
      <c r="D153" s="23" t="s">
        <v>156</v>
      </c>
      <c r="E153" s="24">
        <v>99360</v>
      </c>
      <c r="F153" s="25">
        <v>28</v>
      </c>
      <c r="G153" s="24">
        <f t="shared" si="4"/>
        <v>3548.5714285714284</v>
      </c>
      <c r="H153" s="23" t="s">
        <v>759</v>
      </c>
      <c r="I153" s="23" t="s">
        <v>760</v>
      </c>
      <c r="J153" s="23" t="str">
        <f t="shared" si="5"/>
        <v>OK</v>
      </c>
      <c r="K153" s="23"/>
    </row>
    <row r="154" spans="1:11" ht="26.4" x14ac:dyDescent="0.25">
      <c r="A154" s="23" t="s">
        <v>913</v>
      </c>
      <c r="B154" s="23">
        <v>316</v>
      </c>
      <c r="C154" s="23">
        <v>317</v>
      </c>
      <c r="D154" s="23" t="s">
        <v>157</v>
      </c>
      <c r="E154" s="24">
        <v>46440</v>
      </c>
      <c r="F154" s="25">
        <v>500</v>
      </c>
      <c r="G154" s="24">
        <f t="shared" si="4"/>
        <v>92.88</v>
      </c>
      <c r="H154" s="23" t="s">
        <v>759</v>
      </c>
      <c r="I154" s="23" t="s">
        <v>760</v>
      </c>
      <c r="J154" s="23" t="str">
        <f t="shared" si="5"/>
        <v>OK</v>
      </c>
      <c r="K154" s="23"/>
    </row>
    <row r="155" spans="1:11" x14ac:dyDescent="0.25">
      <c r="A155" s="23" t="s">
        <v>914</v>
      </c>
      <c r="B155" s="23">
        <v>318</v>
      </c>
      <c r="C155" s="23">
        <v>319</v>
      </c>
      <c r="D155" s="23" t="s">
        <v>158</v>
      </c>
      <c r="E155" s="24">
        <v>11.23</v>
      </c>
      <c r="F155" s="25">
        <v>80</v>
      </c>
      <c r="G155" s="24">
        <f t="shared" si="4"/>
        <v>0.140375</v>
      </c>
      <c r="H155" s="23" t="s">
        <v>759</v>
      </c>
      <c r="I155" s="23" t="s">
        <v>760</v>
      </c>
      <c r="J155" s="23" t="str">
        <f t="shared" si="5"/>
        <v>OK</v>
      </c>
      <c r="K155" s="23"/>
    </row>
    <row r="156" spans="1:11" x14ac:dyDescent="0.25">
      <c r="A156" s="23" t="s">
        <v>915</v>
      </c>
      <c r="B156" s="23">
        <v>320</v>
      </c>
      <c r="C156" s="23">
        <v>321</v>
      </c>
      <c r="D156" s="23" t="s">
        <v>159</v>
      </c>
      <c r="E156" s="24">
        <v>926.21</v>
      </c>
      <c r="F156" s="25">
        <v>3330</v>
      </c>
      <c r="G156" s="24">
        <f t="shared" si="4"/>
        <v>0.27814114114114113</v>
      </c>
      <c r="H156" s="23" t="s">
        <v>759</v>
      </c>
      <c r="I156" s="23" t="s">
        <v>760</v>
      </c>
      <c r="J156" s="23" t="str">
        <f t="shared" si="5"/>
        <v>OK</v>
      </c>
      <c r="K156" s="23"/>
    </row>
    <row r="157" spans="1:11" x14ac:dyDescent="0.25">
      <c r="A157" s="23" t="s">
        <v>916</v>
      </c>
      <c r="B157" s="23">
        <v>322</v>
      </c>
      <c r="C157" s="23">
        <v>323</v>
      </c>
      <c r="D157" s="23" t="s">
        <v>160</v>
      </c>
      <c r="E157" s="24">
        <v>324.74</v>
      </c>
      <c r="F157" s="25">
        <v>1170</v>
      </c>
      <c r="G157" s="24">
        <f t="shared" si="4"/>
        <v>0.27755555555555556</v>
      </c>
      <c r="H157" s="23" t="s">
        <v>759</v>
      </c>
      <c r="I157" s="23" t="s">
        <v>760</v>
      </c>
      <c r="J157" s="23" t="str">
        <f t="shared" si="5"/>
        <v>OK</v>
      </c>
      <c r="K157" s="23"/>
    </row>
    <row r="158" spans="1:11" x14ac:dyDescent="0.25">
      <c r="A158" s="23" t="s">
        <v>917</v>
      </c>
      <c r="B158" s="23">
        <v>324</v>
      </c>
      <c r="C158" s="23">
        <v>325</v>
      </c>
      <c r="D158" s="23" t="s">
        <v>161</v>
      </c>
      <c r="E158" s="24">
        <v>725.12</v>
      </c>
      <c r="F158" s="25">
        <v>990</v>
      </c>
      <c r="G158" s="24">
        <f t="shared" si="4"/>
        <v>0.73244444444444445</v>
      </c>
      <c r="H158" s="23" t="s">
        <v>759</v>
      </c>
      <c r="I158" s="23" t="s">
        <v>760</v>
      </c>
      <c r="J158" s="23" t="str">
        <f t="shared" si="5"/>
        <v>OK</v>
      </c>
      <c r="K158" s="23"/>
    </row>
    <row r="159" spans="1:11" x14ac:dyDescent="0.25">
      <c r="A159" s="23" t="s">
        <v>918</v>
      </c>
      <c r="B159" s="23">
        <v>326</v>
      </c>
      <c r="C159" s="23">
        <v>327</v>
      </c>
      <c r="D159" s="23" t="s">
        <v>162</v>
      </c>
      <c r="E159" s="24">
        <v>3016.07</v>
      </c>
      <c r="F159" s="25">
        <v>1000</v>
      </c>
      <c r="G159" s="24">
        <f t="shared" si="4"/>
        <v>3.01607</v>
      </c>
      <c r="H159" s="23" t="s">
        <v>759</v>
      </c>
      <c r="I159" s="23" t="s">
        <v>760</v>
      </c>
      <c r="J159" s="23" t="str">
        <f t="shared" si="5"/>
        <v>OK</v>
      </c>
      <c r="K159" s="23"/>
    </row>
    <row r="160" spans="1:11" x14ac:dyDescent="0.25">
      <c r="A160" s="23" t="s">
        <v>919</v>
      </c>
      <c r="B160" s="23">
        <v>328</v>
      </c>
      <c r="C160" s="23">
        <v>329</v>
      </c>
      <c r="D160" s="23" t="s">
        <v>163</v>
      </c>
      <c r="E160" s="24">
        <v>498.65</v>
      </c>
      <c r="F160" s="25">
        <v>2250</v>
      </c>
      <c r="G160" s="24">
        <f t="shared" si="4"/>
        <v>0.22162222222222222</v>
      </c>
      <c r="H160" s="23" t="s">
        <v>759</v>
      </c>
      <c r="I160" s="23" t="s">
        <v>760</v>
      </c>
      <c r="J160" s="23" t="str">
        <f t="shared" si="5"/>
        <v>OK</v>
      </c>
      <c r="K160" s="23"/>
    </row>
    <row r="161" spans="1:11" x14ac:dyDescent="0.25">
      <c r="A161" s="23" t="s">
        <v>920</v>
      </c>
      <c r="B161" s="23">
        <v>330</v>
      </c>
      <c r="C161" s="23">
        <v>331</v>
      </c>
      <c r="D161" s="23" t="s">
        <v>164</v>
      </c>
      <c r="E161" s="24">
        <v>717.29</v>
      </c>
      <c r="F161" s="25">
        <v>70</v>
      </c>
      <c r="G161" s="24">
        <f t="shared" si="4"/>
        <v>10.247</v>
      </c>
      <c r="H161" s="23" t="s">
        <v>759</v>
      </c>
      <c r="I161" s="23" t="s">
        <v>760</v>
      </c>
      <c r="J161" s="23" t="str">
        <f t="shared" si="5"/>
        <v>OK</v>
      </c>
      <c r="K161" s="23"/>
    </row>
    <row r="162" spans="1:11" x14ac:dyDescent="0.25">
      <c r="A162" s="23" t="s">
        <v>921</v>
      </c>
      <c r="B162" s="23">
        <v>332</v>
      </c>
      <c r="C162" s="23">
        <v>333</v>
      </c>
      <c r="D162" s="23" t="s">
        <v>165</v>
      </c>
      <c r="E162" s="24">
        <v>2746.01</v>
      </c>
      <c r="F162" s="25">
        <v>590</v>
      </c>
      <c r="G162" s="24">
        <f t="shared" si="4"/>
        <v>4.6542542372881357</v>
      </c>
      <c r="H162" s="23" t="s">
        <v>759</v>
      </c>
      <c r="I162" s="23" t="s">
        <v>760</v>
      </c>
      <c r="J162" s="23" t="str">
        <f t="shared" si="5"/>
        <v>OK</v>
      </c>
      <c r="K162" s="23"/>
    </row>
    <row r="163" spans="1:11" x14ac:dyDescent="0.25">
      <c r="A163" s="23" t="s">
        <v>922</v>
      </c>
      <c r="B163" s="23">
        <v>334</v>
      </c>
      <c r="C163" s="23">
        <v>335</v>
      </c>
      <c r="D163" s="23" t="s">
        <v>166</v>
      </c>
      <c r="E163" s="24">
        <v>4821.78</v>
      </c>
      <c r="F163" s="25">
        <v>1005</v>
      </c>
      <c r="G163" s="24">
        <f t="shared" si="4"/>
        <v>4.797791044776119</v>
      </c>
      <c r="H163" s="23" t="s">
        <v>759</v>
      </c>
      <c r="I163" s="23" t="s">
        <v>760</v>
      </c>
      <c r="J163" s="23" t="str">
        <f t="shared" si="5"/>
        <v>OK</v>
      </c>
      <c r="K163" s="23"/>
    </row>
    <row r="164" spans="1:11" x14ac:dyDescent="0.25">
      <c r="A164" s="23" t="s">
        <v>923</v>
      </c>
      <c r="B164" s="23">
        <v>336</v>
      </c>
      <c r="C164" s="23">
        <v>337</v>
      </c>
      <c r="D164" s="23" t="s">
        <v>167</v>
      </c>
      <c r="E164" s="24">
        <v>7542.98</v>
      </c>
      <c r="F164" s="25">
        <v>467</v>
      </c>
      <c r="G164" s="24">
        <f t="shared" si="4"/>
        <v>16.151991434689506</v>
      </c>
      <c r="H164" s="23" t="s">
        <v>759</v>
      </c>
      <c r="I164" s="23" t="s">
        <v>760</v>
      </c>
      <c r="J164" s="23" t="str">
        <f t="shared" si="5"/>
        <v>OK</v>
      </c>
      <c r="K164" s="23"/>
    </row>
    <row r="165" spans="1:11" x14ac:dyDescent="0.25">
      <c r="A165" s="23" t="s">
        <v>924</v>
      </c>
      <c r="B165" s="23">
        <v>338</v>
      </c>
      <c r="C165" s="23">
        <v>339</v>
      </c>
      <c r="D165" s="23" t="s">
        <v>168</v>
      </c>
      <c r="E165" s="24">
        <v>8104.73</v>
      </c>
      <c r="F165" s="25">
        <v>340</v>
      </c>
      <c r="G165" s="24">
        <f t="shared" si="4"/>
        <v>23.837441176470588</v>
      </c>
      <c r="H165" s="23" t="s">
        <v>759</v>
      </c>
      <c r="I165" s="23" t="s">
        <v>760</v>
      </c>
      <c r="J165" s="23" t="str">
        <f t="shared" si="5"/>
        <v>OK</v>
      </c>
      <c r="K165" s="23"/>
    </row>
    <row r="166" spans="1:11" x14ac:dyDescent="0.25">
      <c r="A166" s="23" t="s">
        <v>925</v>
      </c>
      <c r="B166" s="23">
        <v>340</v>
      </c>
      <c r="C166" s="23">
        <v>341</v>
      </c>
      <c r="D166" s="23" t="s">
        <v>169</v>
      </c>
      <c r="E166" s="24">
        <v>44.96</v>
      </c>
      <c r="F166" s="25">
        <v>10</v>
      </c>
      <c r="G166" s="24">
        <f t="shared" si="4"/>
        <v>4.4960000000000004</v>
      </c>
      <c r="H166" s="23" t="s">
        <v>759</v>
      </c>
      <c r="I166" s="23" t="s">
        <v>760</v>
      </c>
      <c r="J166" s="23" t="str">
        <f t="shared" si="5"/>
        <v>OK</v>
      </c>
      <c r="K166" s="23"/>
    </row>
    <row r="167" spans="1:11" x14ac:dyDescent="0.25">
      <c r="A167" s="23" t="s">
        <v>926</v>
      </c>
      <c r="B167" s="23">
        <v>342</v>
      </c>
      <c r="C167" s="23">
        <v>343</v>
      </c>
      <c r="D167" s="23" t="s">
        <v>170</v>
      </c>
      <c r="E167" s="24">
        <v>71.31</v>
      </c>
      <c r="F167" s="25">
        <v>15</v>
      </c>
      <c r="G167" s="24">
        <f t="shared" si="4"/>
        <v>4.7540000000000004</v>
      </c>
      <c r="H167" s="23" t="s">
        <v>759</v>
      </c>
      <c r="I167" s="23" t="s">
        <v>760</v>
      </c>
      <c r="J167" s="23" t="str">
        <f t="shared" si="5"/>
        <v>OK</v>
      </c>
      <c r="K167" s="23"/>
    </row>
    <row r="168" spans="1:11" x14ac:dyDescent="0.25">
      <c r="A168" s="23" t="s">
        <v>927</v>
      </c>
      <c r="B168" s="23">
        <v>344</v>
      </c>
      <c r="C168" s="23">
        <v>345</v>
      </c>
      <c r="D168" s="23" t="s">
        <v>171</v>
      </c>
      <c r="E168" s="24">
        <v>7417.2</v>
      </c>
      <c r="F168" s="25">
        <v>1900</v>
      </c>
      <c r="G168" s="24">
        <f t="shared" si="4"/>
        <v>3.9037894736842103</v>
      </c>
      <c r="H168" s="23" t="s">
        <v>759</v>
      </c>
      <c r="I168" s="23" t="s">
        <v>760</v>
      </c>
      <c r="J168" s="23" t="str">
        <f t="shared" si="5"/>
        <v>OK</v>
      </c>
      <c r="K168" s="23"/>
    </row>
    <row r="169" spans="1:11" x14ac:dyDescent="0.25">
      <c r="A169" s="23" t="s">
        <v>928</v>
      </c>
      <c r="B169" s="23">
        <v>346</v>
      </c>
      <c r="C169" s="23">
        <v>347</v>
      </c>
      <c r="D169" s="23" t="s">
        <v>172</v>
      </c>
      <c r="E169" s="24">
        <v>3100.92</v>
      </c>
      <c r="F169" s="25">
        <v>900</v>
      </c>
      <c r="G169" s="24">
        <f t="shared" si="4"/>
        <v>3.4454666666666669</v>
      </c>
      <c r="H169" s="23" t="s">
        <v>759</v>
      </c>
      <c r="I169" s="23" t="s">
        <v>760</v>
      </c>
      <c r="J169" s="23" t="str">
        <f t="shared" si="5"/>
        <v>OK</v>
      </c>
      <c r="K169" s="23"/>
    </row>
    <row r="170" spans="1:11" x14ac:dyDescent="0.25">
      <c r="A170" s="23" t="s">
        <v>929</v>
      </c>
      <c r="B170" s="23">
        <v>348</v>
      </c>
      <c r="C170" s="23">
        <v>349</v>
      </c>
      <c r="D170" s="23" t="s">
        <v>173</v>
      </c>
      <c r="E170" s="24">
        <v>7476</v>
      </c>
      <c r="F170" s="25">
        <v>1400</v>
      </c>
      <c r="G170" s="24">
        <f t="shared" si="4"/>
        <v>5.34</v>
      </c>
      <c r="H170" s="23" t="s">
        <v>759</v>
      </c>
      <c r="I170" s="23" t="s">
        <v>760</v>
      </c>
      <c r="J170" s="23" t="str">
        <f t="shared" si="5"/>
        <v>OK</v>
      </c>
      <c r="K170" s="23"/>
    </row>
    <row r="171" spans="1:11" x14ac:dyDescent="0.25">
      <c r="A171" s="23" t="s">
        <v>930</v>
      </c>
      <c r="B171" s="23">
        <v>350</v>
      </c>
      <c r="C171" s="23">
        <v>351</v>
      </c>
      <c r="D171" s="23" t="s">
        <v>174</v>
      </c>
      <c r="E171" s="24">
        <v>61.56</v>
      </c>
      <c r="F171" s="25">
        <v>20</v>
      </c>
      <c r="G171" s="24">
        <f t="shared" si="4"/>
        <v>3.0780000000000003</v>
      </c>
      <c r="H171" s="23" t="s">
        <v>759</v>
      </c>
      <c r="I171" s="23" t="s">
        <v>760</v>
      </c>
      <c r="J171" s="23" t="str">
        <f t="shared" si="5"/>
        <v>OK</v>
      </c>
      <c r="K171" s="23"/>
    </row>
    <row r="172" spans="1:11" x14ac:dyDescent="0.25">
      <c r="A172" s="23" t="s">
        <v>931</v>
      </c>
      <c r="B172" s="23">
        <v>352</v>
      </c>
      <c r="C172" s="23">
        <v>353</v>
      </c>
      <c r="D172" s="23" t="s">
        <v>175</v>
      </c>
      <c r="E172" s="24">
        <v>2781</v>
      </c>
      <c r="F172" s="25">
        <v>50</v>
      </c>
      <c r="G172" s="24">
        <f t="shared" si="4"/>
        <v>55.62</v>
      </c>
      <c r="H172" s="23" t="s">
        <v>759</v>
      </c>
      <c r="I172" s="23" t="s">
        <v>760</v>
      </c>
      <c r="J172" s="23" t="str">
        <f t="shared" si="5"/>
        <v>OK</v>
      </c>
      <c r="K172" s="23"/>
    </row>
    <row r="173" spans="1:11" ht="26.4" x14ac:dyDescent="0.25">
      <c r="A173" s="23" t="s">
        <v>932</v>
      </c>
      <c r="B173" s="23">
        <v>354</v>
      </c>
      <c r="C173" s="23">
        <v>355</v>
      </c>
      <c r="D173" s="23" t="s">
        <v>176</v>
      </c>
      <c r="E173" s="24">
        <v>164.16</v>
      </c>
      <c r="F173" s="25">
        <v>4</v>
      </c>
      <c r="G173" s="24">
        <f t="shared" si="4"/>
        <v>41.04</v>
      </c>
      <c r="H173" s="23" t="s">
        <v>759</v>
      </c>
      <c r="I173" s="23" t="s">
        <v>760</v>
      </c>
      <c r="J173" s="23" t="str">
        <f t="shared" si="5"/>
        <v>OK</v>
      </c>
      <c r="K173" s="23"/>
    </row>
    <row r="174" spans="1:11" ht="26.4" x14ac:dyDescent="0.25">
      <c r="A174" s="23" t="s">
        <v>933</v>
      </c>
      <c r="B174" s="23">
        <v>356</v>
      </c>
      <c r="C174" s="23">
        <v>357</v>
      </c>
      <c r="D174" s="23" t="s">
        <v>177</v>
      </c>
      <c r="E174" s="24">
        <v>181.44</v>
      </c>
      <c r="F174" s="25">
        <v>4</v>
      </c>
      <c r="G174" s="24">
        <f t="shared" si="4"/>
        <v>45.36</v>
      </c>
      <c r="H174" s="23" t="s">
        <v>759</v>
      </c>
      <c r="I174" s="23" t="s">
        <v>760</v>
      </c>
      <c r="J174" s="23" t="str">
        <f t="shared" si="5"/>
        <v>OK</v>
      </c>
      <c r="K174" s="23"/>
    </row>
    <row r="175" spans="1:11" ht="26.4" x14ac:dyDescent="0.25">
      <c r="A175" s="23" t="s">
        <v>934</v>
      </c>
      <c r="B175" s="23">
        <v>358</v>
      </c>
      <c r="C175" s="23">
        <v>359</v>
      </c>
      <c r="D175" s="23" t="s">
        <v>178</v>
      </c>
      <c r="E175" s="24">
        <v>194.4</v>
      </c>
      <c r="F175" s="25">
        <v>4</v>
      </c>
      <c r="G175" s="24">
        <f t="shared" si="4"/>
        <v>48.6</v>
      </c>
      <c r="H175" s="23" t="s">
        <v>759</v>
      </c>
      <c r="I175" s="23" t="s">
        <v>760</v>
      </c>
      <c r="J175" s="23" t="str">
        <f t="shared" si="5"/>
        <v>OK</v>
      </c>
      <c r="K175" s="23"/>
    </row>
    <row r="176" spans="1:11" x14ac:dyDescent="0.25">
      <c r="A176" s="23" t="s">
        <v>935</v>
      </c>
      <c r="B176" s="23">
        <v>360</v>
      </c>
      <c r="C176" s="23">
        <v>361</v>
      </c>
      <c r="D176" s="23" t="s">
        <v>179</v>
      </c>
      <c r="E176" s="24">
        <v>726.3</v>
      </c>
      <c r="F176" s="25">
        <v>50</v>
      </c>
      <c r="G176" s="24">
        <f t="shared" si="4"/>
        <v>14.526</v>
      </c>
      <c r="H176" s="23" t="s">
        <v>759</v>
      </c>
      <c r="I176" s="23" t="s">
        <v>760</v>
      </c>
      <c r="J176" s="23" t="str">
        <f t="shared" si="5"/>
        <v>OK</v>
      </c>
      <c r="K176" s="23"/>
    </row>
    <row r="177" spans="1:11" x14ac:dyDescent="0.25">
      <c r="A177" s="23" t="s">
        <v>936</v>
      </c>
      <c r="B177" s="23">
        <v>362</v>
      </c>
      <c r="C177" s="23">
        <v>363</v>
      </c>
      <c r="D177" s="23" t="s">
        <v>180</v>
      </c>
      <c r="E177" s="24">
        <v>72.900000000000006</v>
      </c>
      <c r="F177" s="25">
        <v>45</v>
      </c>
      <c r="G177" s="24">
        <f t="shared" si="4"/>
        <v>1.62</v>
      </c>
      <c r="H177" s="23" t="s">
        <v>759</v>
      </c>
      <c r="I177" s="23" t="s">
        <v>760</v>
      </c>
      <c r="J177" s="23" t="str">
        <f t="shared" si="5"/>
        <v>OK</v>
      </c>
      <c r="K177" s="23"/>
    </row>
    <row r="178" spans="1:11" x14ac:dyDescent="0.25">
      <c r="A178" s="23" t="s">
        <v>937</v>
      </c>
      <c r="B178" s="23">
        <v>364</v>
      </c>
      <c r="C178" s="23">
        <v>365</v>
      </c>
      <c r="D178" s="23" t="s">
        <v>181</v>
      </c>
      <c r="E178" s="24">
        <v>339.49</v>
      </c>
      <c r="F178" s="25">
        <v>271</v>
      </c>
      <c r="G178" s="24">
        <f t="shared" si="4"/>
        <v>1.252730627306273</v>
      </c>
      <c r="H178" s="23" t="s">
        <v>759</v>
      </c>
      <c r="I178" s="23" t="s">
        <v>760</v>
      </c>
      <c r="J178" s="23" t="str">
        <f t="shared" si="5"/>
        <v>OK</v>
      </c>
      <c r="K178" s="23"/>
    </row>
    <row r="179" spans="1:11" x14ac:dyDescent="0.25">
      <c r="A179" s="23" t="s">
        <v>938</v>
      </c>
      <c r="B179" s="23">
        <v>366</v>
      </c>
      <c r="C179" s="23">
        <v>367</v>
      </c>
      <c r="D179" s="23" t="s">
        <v>182</v>
      </c>
      <c r="E179" s="24">
        <v>137.80000000000001</v>
      </c>
      <c r="F179" s="25">
        <v>110</v>
      </c>
      <c r="G179" s="24">
        <f t="shared" si="4"/>
        <v>1.2527272727272729</v>
      </c>
      <c r="H179" s="23" t="s">
        <v>759</v>
      </c>
      <c r="I179" s="23" t="s">
        <v>760</v>
      </c>
      <c r="J179" s="23" t="str">
        <f t="shared" si="5"/>
        <v>OK</v>
      </c>
      <c r="K179" s="23"/>
    </row>
    <row r="180" spans="1:11" x14ac:dyDescent="0.25">
      <c r="A180" s="23" t="s">
        <v>939</v>
      </c>
      <c r="B180" s="23">
        <v>368</v>
      </c>
      <c r="C180" s="23">
        <v>369</v>
      </c>
      <c r="D180" s="23" t="s">
        <v>183</v>
      </c>
      <c r="E180" s="24">
        <v>77.760000000000005</v>
      </c>
      <c r="F180" s="25">
        <v>45</v>
      </c>
      <c r="G180" s="24">
        <f t="shared" si="4"/>
        <v>1.7280000000000002</v>
      </c>
      <c r="H180" s="23" t="s">
        <v>759</v>
      </c>
      <c r="I180" s="23" t="s">
        <v>760</v>
      </c>
      <c r="J180" s="23" t="str">
        <f t="shared" si="5"/>
        <v>OK</v>
      </c>
      <c r="K180" s="23"/>
    </row>
    <row r="181" spans="1:11" x14ac:dyDescent="0.25">
      <c r="A181" s="23" t="s">
        <v>940</v>
      </c>
      <c r="B181" s="23">
        <v>370</v>
      </c>
      <c r="C181" s="23">
        <v>371</v>
      </c>
      <c r="D181" s="23" t="s">
        <v>184</v>
      </c>
      <c r="E181" s="24">
        <v>63.72</v>
      </c>
      <c r="F181" s="25">
        <v>50</v>
      </c>
      <c r="G181" s="24">
        <f t="shared" si="4"/>
        <v>1.2744</v>
      </c>
      <c r="H181" s="23" t="s">
        <v>759</v>
      </c>
      <c r="I181" s="23" t="s">
        <v>760</v>
      </c>
      <c r="J181" s="23" t="str">
        <f t="shared" si="5"/>
        <v>OK</v>
      </c>
      <c r="K181" s="23"/>
    </row>
    <row r="182" spans="1:11" x14ac:dyDescent="0.25">
      <c r="A182" s="23" t="s">
        <v>941</v>
      </c>
      <c r="B182" s="23">
        <v>372</v>
      </c>
      <c r="C182" s="23">
        <v>373</v>
      </c>
      <c r="D182" s="23" t="s">
        <v>185</v>
      </c>
      <c r="E182" s="24">
        <v>905.04</v>
      </c>
      <c r="F182" s="25">
        <v>100</v>
      </c>
      <c r="G182" s="24">
        <f t="shared" si="4"/>
        <v>9.0503999999999998</v>
      </c>
      <c r="H182" s="23" t="s">
        <v>759</v>
      </c>
      <c r="I182" s="23" t="s">
        <v>760</v>
      </c>
      <c r="J182" s="23" t="str">
        <f t="shared" si="5"/>
        <v>OK</v>
      </c>
      <c r="K182" s="23"/>
    </row>
    <row r="183" spans="1:11" ht="26.4" x14ac:dyDescent="0.25">
      <c r="A183" s="23" t="s">
        <v>942</v>
      </c>
      <c r="B183" s="23">
        <v>374</v>
      </c>
      <c r="C183" s="23">
        <v>375</v>
      </c>
      <c r="D183" s="23" t="s">
        <v>186</v>
      </c>
      <c r="E183" s="24">
        <v>2711</v>
      </c>
      <c r="F183" s="25">
        <v>1400</v>
      </c>
      <c r="G183" s="24">
        <f t="shared" si="4"/>
        <v>1.9364285714285714</v>
      </c>
      <c r="H183" s="23" t="s">
        <v>759</v>
      </c>
      <c r="I183" s="23" t="s">
        <v>760</v>
      </c>
      <c r="J183" s="23" t="str">
        <f t="shared" si="5"/>
        <v>OK</v>
      </c>
      <c r="K183" s="23"/>
    </row>
    <row r="184" spans="1:11" ht="26.4" x14ac:dyDescent="0.25">
      <c r="A184" s="23" t="s">
        <v>943</v>
      </c>
      <c r="B184" s="23">
        <v>376</v>
      </c>
      <c r="C184" s="23">
        <v>377</v>
      </c>
      <c r="D184" s="23" t="s">
        <v>187</v>
      </c>
      <c r="E184" s="24">
        <v>1261.98</v>
      </c>
      <c r="F184" s="25">
        <v>570</v>
      </c>
      <c r="G184" s="24">
        <f t="shared" si="4"/>
        <v>2.214</v>
      </c>
      <c r="H184" s="23" t="s">
        <v>759</v>
      </c>
      <c r="I184" s="23" t="s">
        <v>760</v>
      </c>
      <c r="J184" s="23" t="str">
        <f t="shared" si="5"/>
        <v>OK</v>
      </c>
      <c r="K184" s="23"/>
    </row>
    <row r="185" spans="1:11" x14ac:dyDescent="0.25">
      <c r="A185" s="23" t="s">
        <v>944</v>
      </c>
      <c r="B185" s="23">
        <v>378</v>
      </c>
      <c r="C185" s="23">
        <v>379</v>
      </c>
      <c r="D185" s="23" t="s">
        <v>188</v>
      </c>
      <c r="E185" s="24">
        <v>708.91</v>
      </c>
      <c r="F185" s="25">
        <v>340</v>
      </c>
      <c r="G185" s="24">
        <f t="shared" si="4"/>
        <v>2.0850294117647059</v>
      </c>
      <c r="H185" s="23" t="s">
        <v>759</v>
      </c>
      <c r="I185" s="23" t="s">
        <v>760</v>
      </c>
      <c r="J185" s="23" t="str">
        <f t="shared" si="5"/>
        <v>OK</v>
      </c>
      <c r="K185" s="23"/>
    </row>
    <row r="186" spans="1:11" x14ac:dyDescent="0.25">
      <c r="A186" s="23" t="s">
        <v>945</v>
      </c>
      <c r="B186" s="23">
        <v>380</v>
      </c>
      <c r="C186" s="23">
        <v>381</v>
      </c>
      <c r="D186" s="23" t="s">
        <v>189</v>
      </c>
      <c r="E186" s="24">
        <v>232.52</v>
      </c>
      <c r="F186" s="25">
        <v>110</v>
      </c>
      <c r="G186" s="24">
        <f t="shared" si="4"/>
        <v>2.113818181818182</v>
      </c>
      <c r="H186" s="23" t="s">
        <v>759</v>
      </c>
      <c r="I186" s="23" t="s">
        <v>760</v>
      </c>
      <c r="J186" s="23" t="str">
        <f t="shared" si="5"/>
        <v>OK</v>
      </c>
      <c r="K186" s="23"/>
    </row>
    <row r="187" spans="1:11" x14ac:dyDescent="0.25">
      <c r="A187" s="23" t="s">
        <v>946</v>
      </c>
      <c r="B187" s="23">
        <v>382</v>
      </c>
      <c r="C187" s="23">
        <v>383</v>
      </c>
      <c r="D187" s="23" t="s">
        <v>190</v>
      </c>
      <c r="E187" s="24">
        <v>363.89</v>
      </c>
      <c r="F187" s="25">
        <v>180</v>
      </c>
      <c r="G187" s="24">
        <f t="shared" si="4"/>
        <v>2.021611111111111</v>
      </c>
      <c r="H187" s="23" t="s">
        <v>759</v>
      </c>
      <c r="I187" s="23" t="s">
        <v>760</v>
      </c>
      <c r="J187" s="23" t="str">
        <f t="shared" si="5"/>
        <v>OK</v>
      </c>
      <c r="K187" s="23"/>
    </row>
    <row r="188" spans="1:11" x14ac:dyDescent="0.25">
      <c r="A188" s="23" t="s">
        <v>947</v>
      </c>
      <c r="B188" s="23">
        <v>384</v>
      </c>
      <c r="C188" s="23">
        <v>385</v>
      </c>
      <c r="D188" s="23" t="s">
        <v>191</v>
      </c>
      <c r="E188" s="24">
        <v>33.479999999999997</v>
      </c>
      <c r="F188" s="25">
        <v>20</v>
      </c>
      <c r="G188" s="24">
        <f t="shared" si="4"/>
        <v>1.6739999999999999</v>
      </c>
      <c r="H188" s="23" t="s">
        <v>759</v>
      </c>
      <c r="I188" s="23" t="s">
        <v>760</v>
      </c>
      <c r="J188" s="23" t="str">
        <f t="shared" si="5"/>
        <v>OK</v>
      </c>
      <c r="K188" s="23"/>
    </row>
    <row r="189" spans="1:11" x14ac:dyDescent="0.25">
      <c r="A189" s="23" t="s">
        <v>948</v>
      </c>
      <c r="B189" s="23">
        <v>386</v>
      </c>
      <c r="C189" s="23">
        <v>387</v>
      </c>
      <c r="D189" s="23" t="s">
        <v>192</v>
      </c>
      <c r="E189" s="24">
        <v>5670</v>
      </c>
      <c r="F189" s="25">
        <v>1000</v>
      </c>
      <c r="G189" s="24">
        <f t="shared" si="4"/>
        <v>5.67</v>
      </c>
      <c r="H189" s="23" t="s">
        <v>759</v>
      </c>
      <c r="I189" s="23" t="s">
        <v>760</v>
      </c>
      <c r="J189" s="23" t="str">
        <f t="shared" si="5"/>
        <v>OK</v>
      </c>
      <c r="K189" s="23"/>
    </row>
    <row r="190" spans="1:11" x14ac:dyDescent="0.25">
      <c r="A190" s="23" t="s">
        <v>949</v>
      </c>
      <c r="B190" s="23">
        <v>388</v>
      </c>
      <c r="C190" s="23">
        <v>389</v>
      </c>
      <c r="D190" s="23" t="s">
        <v>193</v>
      </c>
      <c r="E190" s="24">
        <v>2520</v>
      </c>
      <c r="F190" s="25">
        <v>600</v>
      </c>
      <c r="G190" s="24">
        <f t="shared" si="4"/>
        <v>4.2</v>
      </c>
      <c r="H190" s="23" t="s">
        <v>759</v>
      </c>
      <c r="I190" s="23" t="s">
        <v>760</v>
      </c>
      <c r="J190" s="23" t="str">
        <f t="shared" si="5"/>
        <v>OK</v>
      </c>
      <c r="K190" s="23"/>
    </row>
    <row r="191" spans="1:11" x14ac:dyDescent="0.25">
      <c r="A191" s="23" t="s">
        <v>950</v>
      </c>
      <c r="B191" s="23">
        <v>390</v>
      </c>
      <c r="C191" s="23">
        <v>391</v>
      </c>
      <c r="D191" s="23" t="s">
        <v>194</v>
      </c>
      <c r="E191" s="24">
        <v>83.24</v>
      </c>
      <c r="F191" s="25">
        <v>60</v>
      </c>
      <c r="G191" s="24">
        <f t="shared" si="4"/>
        <v>1.3873333333333333</v>
      </c>
      <c r="H191" s="23" t="s">
        <v>759</v>
      </c>
      <c r="I191" s="23" t="s">
        <v>760</v>
      </c>
      <c r="J191" s="23" t="str">
        <f t="shared" si="5"/>
        <v>OK</v>
      </c>
      <c r="K191" s="23"/>
    </row>
    <row r="192" spans="1:11" ht="26.4" x14ac:dyDescent="0.25">
      <c r="A192" s="23" t="s">
        <v>951</v>
      </c>
      <c r="B192" s="23">
        <v>392</v>
      </c>
      <c r="C192" s="23">
        <v>393</v>
      </c>
      <c r="D192" s="23" t="s">
        <v>195</v>
      </c>
      <c r="E192" s="24">
        <v>91.6</v>
      </c>
      <c r="F192" s="25">
        <v>60</v>
      </c>
      <c r="G192" s="24">
        <f t="shared" si="4"/>
        <v>1.5266666666666666</v>
      </c>
      <c r="H192" s="23" t="s">
        <v>759</v>
      </c>
      <c r="I192" s="23" t="s">
        <v>760</v>
      </c>
      <c r="J192" s="23" t="str">
        <f t="shared" si="5"/>
        <v>OK</v>
      </c>
      <c r="K192" s="23"/>
    </row>
    <row r="193" spans="1:11" x14ac:dyDescent="0.25">
      <c r="A193" s="23" t="s">
        <v>952</v>
      </c>
      <c r="B193" s="23">
        <v>394</v>
      </c>
      <c r="C193" s="23">
        <v>395</v>
      </c>
      <c r="D193" s="23" t="s">
        <v>196</v>
      </c>
      <c r="E193" s="24">
        <v>1013.9</v>
      </c>
      <c r="F193" s="25">
        <v>420</v>
      </c>
      <c r="G193" s="24">
        <f t="shared" si="4"/>
        <v>2.414047619047619</v>
      </c>
      <c r="H193" s="23" t="s">
        <v>759</v>
      </c>
      <c r="I193" s="23" t="s">
        <v>760</v>
      </c>
      <c r="J193" s="23" t="str">
        <f t="shared" si="5"/>
        <v>OK</v>
      </c>
      <c r="K193" s="23"/>
    </row>
    <row r="194" spans="1:11" x14ac:dyDescent="0.25">
      <c r="A194" s="23" t="s">
        <v>953</v>
      </c>
      <c r="B194" s="23">
        <v>396</v>
      </c>
      <c r="C194" s="23">
        <v>397</v>
      </c>
      <c r="D194" s="23" t="s">
        <v>197</v>
      </c>
      <c r="E194" s="24">
        <v>547.16</v>
      </c>
      <c r="F194" s="25">
        <v>480</v>
      </c>
      <c r="G194" s="24">
        <f t="shared" ref="G194:G257" si="6">IFERROR(E194/F194,"")</f>
        <v>1.1399166666666667</v>
      </c>
      <c r="H194" s="23" t="s">
        <v>759</v>
      </c>
      <c r="I194" s="23" t="s">
        <v>760</v>
      </c>
      <c r="J194" s="23" t="str">
        <f t="shared" ref="J194:J257" si="7">IF(OR(E194="",F194=""),"LIPSESC DATE",IF(F194=0,"CANTITATE 0","OK"))</f>
        <v>OK</v>
      </c>
      <c r="K194" s="23"/>
    </row>
    <row r="195" spans="1:11" x14ac:dyDescent="0.25">
      <c r="A195" s="23" t="s">
        <v>954</v>
      </c>
      <c r="B195" s="23">
        <v>398</v>
      </c>
      <c r="C195" s="23">
        <v>399</v>
      </c>
      <c r="D195" s="23" t="s">
        <v>198</v>
      </c>
      <c r="E195" s="24">
        <v>141.82</v>
      </c>
      <c r="F195" s="25">
        <v>60</v>
      </c>
      <c r="G195" s="24">
        <f t="shared" si="6"/>
        <v>2.3636666666666666</v>
      </c>
      <c r="H195" s="23" t="s">
        <v>759</v>
      </c>
      <c r="I195" s="23" t="s">
        <v>760</v>
      </c>
      <c r="J195" s="23" t="str">
        <f t="shared" si="7"/>
        <v>OK</v>
      </c>
      <c r="K195" s="23"/>
    </row>
    <row r="196" spans="1:11" x14ac:dyDescent="0.25">
      <c r="A196" s="23" t="s">
        <v>955</v>
      </c>
      <c r="B196" s="23">
        <v>400</v>
      </c>
      <c r="C196" s="23">
        <v>401</v>
      </c>
      <c r="D196" s="23" t="s">
        <v>199</v>
      </c>
      <c r="E196" s="24">
        <v>14328.44</v>
      </c>
      <c r="F196" s="25">
        <v>3150</v>
      </c>
      <c r="G196" s="24">
        <f t="shared" si="6"/>
        <v>4.5487111111111114</v>
      </c>
      <c r="H196" s="23" t="s">
        <v>759</v>
      </c>
      <c r="I196" s="23" t="s">
        <v>760</v>
      </c>
      <c r="J196" s="23" t="str">
        <f t="shared" si="7"/>
        <v>OK</v>
      </c>
      <c r="K196" s="23"/>
    </row>
    <row r="197" spans="1:11" x14ac:dyDescent="0.25">
      <c r="A197" s="23" t="s">
        <v>956</v>
      </c>
      <c r="B197" s="23">
        <v>402</v>
      </c>
      <c r="C197" s="23">
        <v>403</v>
      </c>
      <c r="D197" s="23" t="s">
        <v>200</v>
      </c>
      <c r="E197" s="24">
        <v>1576.8</v>
      </c>
      <c r="F197" s="25">
        <v>100</v>
      </c>
      <c r="G197" s="24">
        <f t="shared" si="6"/>
        <v>15.767999999999999</v>
      </c>
      <c r="H197" s="23" t="s">
        <v>759</v>
      </c>
      <c r="I197" s="23" t="s">
        <v>760</v>
      </c>
      <c r="J197" s="23" t="str">
        <f t="shared" si="7"/>
        <v>OK</v>
      </c>
      <c r="K197" s="23"/>
    </row>
    <row r="198" spans="1:11" x14ac:dyDescent="0.25">
      <c r="A198" s="23" t="s">
        <v>957</v>
      </c>
      <c r="B198" s="23">
        <v>404</v>
      </c>
      <c r="C198" s="23">
        <v>405</v>
      </c>
      <c r="D198" s="23" t="s">
        <v>201</v>
      </c>
      <c r="E198" s="24">
        <v>1385.02</v>
      </c>
      <c r="F198" s="25">
        <v>70</v>
      </c>
      <c r="G198" s="24">
        <f t="shared" si="6"/>
        <v>19.786000000000001</v>
      </c>
      <c r="H198" s="23" t="s">
        <v>759</v>
      </c>
      <c r="I198" s="23" t="s">
        <v>760</v>
      </c>
      <c r="J198" s="23" t="str">
        <f t="shared" si="7"/>
        <v>OK</v>
      </c>
      <c r="K198" s="23"/>
    </row>
    <row r="199" spans="1:11" x14ac:dyDescent="0.25">
      <c r="A199" s="23" t="s">
        <v>958</v>
      </c>
      <c r="B199" s="23">
        <v>406</v>
      </c>
      <c r="C199" s="23">
        <v>407</v>
      </c>
      <c r="D199" s="23" t="s">
        <v>202</v>
      </c>
      <c r="E199" s="24">
        <v>1928.18</v>
      </c>
      <c r="F199" s="25">
        <v>210</v>
      </c>
      <c r="G199" s="24">
        <f t="shared" si="6"/>
        <v>9.181809523809525</v>
      </c>
      <c r="H199" s="23" t="s">
        <v>759</v>
      </c>
      <c r="I199" s="23" t="s">
        <v>760</v>
      </c>
      <c r="J199" s="23" t="str">
        <f t="shared" si="7"/>
        <v>OK</v>
      </c>
      <c r="K199" s="23"/>
    </row>
    <row r="200" spans="1:11" x14ac:dyDescent="0.25">
      <c r="A200" s="23" t="s">
        <v>959</v>
      </c>
      <c r="B200" s="23">
        <v>408</v>
      </c>
      <c r="C200" s="23">
        <v>409</v>
      </c>
      <c r="D200" s="23" t="s">
        <v>203</v>
      </c>
      <c r="E200" s="24">
        <v>884.28</v>
      </c>
      <c r="F200" s="25">
        <v>40</v>
      </c>
      <c r="G200" s="24">
        <f t="shared" si="6"/>
        <v>22.106999999999999</v>
      </c>
      <c r="H200" s="23" t="s">
        <v>759</v>
      </c>
      <c r="I200" s="23" t="s">
        <v>760</v>
      </c>
      <c r="J200" s="23" t="str">
        <f t="shared" si="7"/>
        <v>OK</v>
      </c>
      <c r="K200" s="23"/>
    </row>
    <row r="201" spans="1:11" x14ac:dyDescent="0.25">
      <c r="A201" s="23" t="s">
        <v>960</v>
      </c>
      <c r="B201" s="23">
        <v>410</v>
      </c>
      <c r="C201" s="23">
        <v>411</v>
      </c>
      <c r="D201" s="23" t="s">
        <v>204</v>
      </c>
      <c r="E201" s="24">
        <v>25481.49</v>
      </c>
      <c r="F201" s="25">
        <v>4660</v>
      </c>
      <c r="G201" s="24">
        <f t="shared" si="6"/>
        <v>5.4681309012875543</v>
      </c>
      <c r="H201" s="23" t="s">
        <v>759</v>
      </c>
      <c r="I201" s="23" t="s">
        <v>760</v>
      </c>
      <c r="J201" s="23" t="str">
        <f t="shared" si="7"/>
        <v>OK</v>
      </c>
      <c r="K201" s="23"/>
    </row>
    <row r="202" spans="1:11" x14ac:dyDescent="0.25">
      <c r="A202" s="23" t="s">
        <v>961</v>
      </c>
      <c r="B202" s="23">
        <v>412</v>
      </c>
      <c r="C202" s="23">
        <v>413</v>
      </c>
      <c r="D202" s="23" t="s">
        <v>962</v>
      </c>
      <c r="E202" s="24">
        <v>26284.86</v>
      </c>
      <c r="F202" s="25">
        <v>2830</v>
      </c>
      <c r="G202" s="24">
        <f t="shared" si="6"/>
        <v>9.2879363957597167</v>
      </c>
      <c r="H202" s="23" t="s">
        <v>759</v>
      </c>
      <c r="I202" s="23" t="s">
        <v>760</v>
      </c>
      <c r="J202" s="23" t="str">
        <f t="shared" si="7"/>
        <v>OK</v>
      </c>
      <c r="K202" s="23"/>
    </row>
    <row r="203" spans="1:11" x14ac:dyDescent="0.25">
      <c r="A203" s="23" t="s">
        <v>963</v>
      </c>
      <c r="B203" s="23">
        <v>414</v>
      </c>
      <c r="C203" s="23">
        <v>415</v>
      </c>
      <c r="D203" s="23" t="s">
        <v>206</v>
      </c>
      <c r="E203" s="24">
        <v>23593.11</v>
      </c>
      <c r="F203" s="25">
        <v>6710</v>
      </c>
      <c r="G203" s="24">
        <f t="shared" si="6"/>
        <v>3.5161117734724292</v>
      </c>
      <c r="H203" s="23" t="s">
        <v>759</v>
      </c>
      <c r="I203" s="23" t="s">
        <v>760</v>
      </c>
      <c r="J203" s="23" t="str">
        <f t="shared" si="7"/>
        <v>OK</v>
      </c>
      <c r="K203" s="23"/>
    </row>
    <row r="204" spans="1:11" x14ac:dyDescent="0.25">
      <c r="A204" s="23" t="s">
        <v>964</v>
      </c>
      <c r="B204" s="23">
        <v>416</v>
      </c>
      <c r="C204" s="23">
        <v>417</v>
      </c>
      <c r="D204" s="23" t="s">
        <v>207</v>
      </c>
      <c r="E204" s="24">
        <v>83756.66</v>
      </c>
      <c r="F204" s="25">
        <v>10830</v>
      </c>
      <c r="G204" s="24">
        <f t="shared" si="6"/>
        <v>7.7337636195752539</v>
      </c>
      <c r="H204" s="23" t="s">
        <v>759</v>
      </c>
      <c r="I204" s="23" t="s">
        <v>760</v>
      </c>
      <c r="J204" s="23" t="str">
        <f t="shared" si="7"/>
        <v>OK</v>
      </c>
      <c r="K204" s="23"/>
    </row>
    <row r="205" spans="1:11" x14ac:dyDescent="0.25">
      <c r="A205" s="23" t="s">
        <v>965</v>
      </c>
      <c r="B205" s="23">
        <v>418</v>
      </c>
      <c r="C205" s="23">
        <v>419</v>
      </c>
      <c r="D205" s="23" t="s">
        <v>208</v>
      </c>
      <c r="E205" s="24">
        <v>90621.21</v>
      </c>
      <c r="F205" s="25">
        <v>835</v>
      </c>
      <c r="G205" s="24">
        <f t="shared" si="6"/>
        <v>108.52839520958085</v>
      </c>
      <c r="H205" s="23" t="s">
        <v>759</v>
      </c>
      <c r="I205" s="23" t="s">
        <v>760</v>
      </c>
      <c r="J205" s="23" t="str">
        <f t="shared" si="7"/>
        <v>OK</v>
      </c>
      <c r="K205" s="23"/>
    </row>
    <row r="206" spans="1:11" x14ac:dyDescent="0.25">
      <c r="A206" s="23" t="s">
        <v>966</v>
      </c>
      <c r="B206" s="23">
        <v>420</v>
      </c>
      <c r="C206" s="23">
        <v>421</v>
      </c>
      <c r="D206" s="23" t="s">
        <v>209</v>
      </c>
      <c r="E206" s="24">
        <v>10978.51</v>
      </c>
      <c r="F206" s="25">
        <v>150</v>
      </c>
      <c r="G206" s="24">
        <f t="shared" si="6"/>
        <v>73.190066666666667</v>
      </c>
      <c r="H206" s="23" t="s">
        <v>759</v>
      </c>
      <c r="I206" s="23" t="s">
        <v>760</v>
      </c>
      <c r="J206" s="23" t="str">
        <f t="shared" si="7"/>
        <v>OK</v>
      </c>
      <c r="K206" s="23"/>
    </row>
    <row r="207" spans="1:11" x14ac:dyDescent="0.25">
      <c r="A207" s="23" t="s">
        <v>967</v>
      </c>
      <c r="B207" s="23">
        <v>422</v>
      </c>
      <c r="C207" s="23">
        <v>423</v>
      </c>
      <c r="D207" s="23" t="s">
        <v>210</v>
      </c>
      <c r="E207" s="24">
        <v>180</v>
      </c>
      <c r="F207" s="25">
        <v>1</v>
      </c>
      <c r="G207" s="24">
        <f t="shared" si="6"/>
        <v>180</v>
      </c>
      <c r="H207" s="23" t="s">
        <v>759</v>
      </c>
      <c r="I207" s="23" t="s">
        <v>760</v>
      </c>
      <c r="J207" s="23" t="str">
        <f t="shared" si="7"/>
        <v>OK</v>
      </c>
      <c r="K207" s="23"/>
    </row>
    <row r="208" spans="1:11" x14ac:dyDescent="0.25">
      <c r="A208" s="23" t="s">
        <v>968</v>
      </c>
      <c r="B208" s="23">
        <v>424</v>
      </c>
      <c r="C208" s="23">
        <v>425</v>
      </c>
      <c r="D208" s="23" t="s">
        <v>211</v>
      </c>
      <c r="E208" s="24">
        <v>1354.64</v>
      </c>
      <c r="F208" s="25">
        <v>74</v>
      </c>
      <c r="G208" s="24">
        <f t="shared" si="6"/>
        <v>18.305945945945947</v>
      </c>
      <c r="H208" s="23" t="s">
        <v>759</v>
      </c>
      <c r="I208" s="23" t="s">
        <v>760</v>
      </c>
      <c r="J208" s="23" t="str">
        <f t="shared" si="7"/>
        <v>OK</v>
      </c>
      <c r="K208" s="23"/>
    </row>
    <row r="209" spans="1:11" x14ac:dyDescent="0.25">
      <c r="A209" s="23" t="s">
        <v>969</v>
      </c>
      <c r="B209" s="23">
        <v>426</v>
      </c>
      <c r="C209" s="23">
        <v>427</v>
      </c>
      <c r="D209" s="23" t="s">
        <v>212</v>
      </c>
      <c r="E209" s="24">
        <v>202.48</v>
      </c>
      <c r="F209" s="25">
        <v>230</v>
      </c>
      <c r="G209" s="24">
        <f t="shared" si="6"/>
        <v>0.8803478260869565</v>
      </c>
      <c r="H209" s="23" t="s">
        <v>759</v>
      </c>
      <c r="I209" s="23" t="s">
        <v>760</v>
      </c>
      <c r="J209" s="23" t="str">
        <f t="shared" si="7"/>
        <v>OK</v>
      </c>
      <c r="K209" s="23"/>
    </row>
    <row r="210" spans="1:11" x14ac:dyDescent="0.25">
      <c r="A210" s="23" t="s">
        <v>970</v>
      </c>
      <c r="B210" s="23">
        <v>428</v>
      </c>
      <c r="C210" s="23">
        <v>429</v>
      </c>
      <c r="D210" s="23" t="s">
        <v>213</v>
      </c>
      <c r="E210" s="24">
        <v>15735.6</v>
      </c>
      <c r="F210" s="25">
        <v>20</v>
      </c>
      <c r="G210" s="24">
        <f t="shared" si="6"/>
        <v>786.78</v>
      </c>
      <c r="H210" s="23" t="s">
        <v>759</v>
      </c>
      <c r="I210" s="23" t="s">
        <v>760</v>
      </c>
      <c r="J210" s="23" t="str">
        <f t="shared" si="7"/>
        <v>OK</v>
      </c>
      <c r="K210" s="23"/>
    </row>
    <row r="211" spans="1:11" x14ac:dyDescent="0.25">
      <c r="A211" s="23" t="s">
        <v>971</v>
      </c>
      <c r="B211" s="23">
        <v>430</v>
      </c>
      <c r="C211" s="23">
        <v>431</v>
      </c>
      <c r="D211" s="23" t="s">
        <v>214</v>
      </c>
      <c r="E211" s="24">
        <v>1280.56</v>
      </c>
      <c r="F211" s="25">
        <v>6750</v>
      </c>
      <c r="G211" s="24">
        <f t="shared" si="6"/>
        <v>0.18971259259259257</v>
      </c>
      <c r="H211" s="23" t="s">
        <v>759</v>
      </c>
      <c r="I211" s="23" t="s">
        <v>760</v>
      </c>
      <c r="J211" s="23" t="str">
        <f t="shared" si="7"/>
        <v>OK</v>
      </c>
      <c r="K211" s="23"/>
    </row>
    <row r="212" spans="1:11" x14ac:dyDescent="0.25">
      <c r="A212" s="23" t="s">
        <v>972</v>
      </c>
      <c r="B212" s="23">
        <v>432</v>
      </c>
      <c r="C212" s="23">
        <v>433</v>
      </c>
      <c r="D212" s="23" t="s">
        <v>215</v>
      </c>
      <c r="E212" s="24">
        <v>1964.95</v>
      </c>
      <c r="F212" s="25">
        <v>155</v>
      </c>
      <c r="G212" s="24">
        <f t="shared" si="6"/>
        <v>12.677096774193549</v>
      </c>
      <c r="H212" s="23" t="s">
        <v>759</v>
      </c>
      <c r="I212" s="23" t="s">
        <v>760</v>
      </c>
      <c r="J212" s="23" t="str">
        <f t="shared" si="7"/>
        <v>OK</v>
      </c>
      <c r="K212" s="23"/>
    </row>
    <row r="213" spans="1:11" x14ac:dyDescent="0.25">
      <c r="A213" s="23" t="s">
        <v>973</v>
      </c>
      <c r="B213" s="23">
        <v>434</v>
      </c>
      <c r="C213" s="23">
        <v>435</v>
      </c>
      <c r="D213" s="23" t="s">
        <v>216</v>
      </c>
      <c r="E213" s="24">
        <v>1593.54</v>
      </c>
      <c r="F213" s="25">
        <v>880</v>
      </c>
      <c r="G213" s="24">
        <f t="shared" si="6"/>
        <v>1.810840909090909</v>
      </c>
      <c r="H213" s="23" t="s">
        <v>759</v>
      </c>
      <c r="I213" s="23" t="s">
        <v>760</v>
      </c>
      <c r="J213" s="23" t="str">
        <f t="shared" si="7"/>
        <v>OK</v>
      </c>
      <c r="K213" s="23"/>
    </row>
    <row r="214" spans="1:11" x14ac:dyDescent="0.25">
      <c r="A214" s="23" t="s">
        <v>974</v>
      </c>
      <c r="B214" s="23">
        <v>436</v>
      </c>
      <c r="C214" s="23">
        <v>437</v>
      </c>
      <c r="D214" s="23" t="s">
        <v>217</v>
      </c>
      <c r="E214" s="24">
        <v>697.75</v>
      </c>
      <c r="F214" s="25">
        <v>600</v>
      </c>
      <c r="G214" s="24">
        <f t="shared" si="6"/>
        <v>1.1629166666666666</v>
      </c>
      <c r="H214" s="23" t="s">
        <v>759</v>
      </c>
      <c r="I214" s="23" t="s">
        <v>760</v>
      </c>
      <c r="J214" s="23" t="str">
        <f t="shared" si="7"/>
        <v>OK</v>
      </c>
      <c r="K214" s="23"/>
    </row>
    <row r="215" spans="1:11" x14ac:dyDescent="0.25">
      <c r="A215" s="23" t="s">
        <v>975</v>
      </c>
      <c r="B215" s="23">
        <v>438</v>
      </c>
      <c r="C215" s="23">
        <v>439</v>
      </c>
      <c r="D215" s="23" t="s">
        <v>218</v>
      </c>
      <c r="E215" s="24">
        <v>32518.05</v>
      </c>
      <c r="F215" s="25">
        <v>2290</v>
      </c>
      <c r="G215" s="24">
        <f t="shared" si="6"/>
        <v>14.200021834061134</v>
      </c>
      <c r="H215" s="23" t="s">
        <v>759</v>
      </c>
      <c r="I215" s="23" t="s">
        <v>760</v>
      </c>
      <c r="J215" s="23" t="str">
        <f t="shared" si="7"/>
        <v>OK</v>
      </c>
      <c r="K215" s="23"/>
    </row>
    <row r="216" spans="1:11" x14ac:dyDescent="0.25">
      <c r="A216" s="23" t="s">
        <v>976</v>
      </c>
      <c r="B216" s="23">
        <v>440</v>
      </c>
      <c r="C216" s="23">
        <v>441</v>
      </c>
      <c r="D216" s="23" t="s">
        <v>219</v>
      </c>
      <c r="E216" s="24">
        <v>745.6</v>
      </c>
      <c r="F216" s="25">
        <v>154</v>
      </c>
      <c r="G216" s="24">
        <f t="shared" si="6"/>
        <v>4.8415584415584414</v>
      </c>
      <c r="H216" s="23" t="s">
        <v>759</v>
      </c>
      <c r="I216" s="23" t="s">
        <v>760</v>
      </c>
      <c r="J216" s="23" t="str">
        <f t="shared" si="7"/>
        <v>OK</v>
      </c>
      <c r="K216" s="23"/>
    </row>
    <row r="217" spans="1:11" x14ac:dyDescent="0.25">
      <c r="A217" s="23" t="s">
        <v>977</v>
      </c>
      <c r="B217" s="23">
        <v>442</v>
      </c>
      <c r="C217" s="23">
        <v>443</v>
      </c>
      <c r="D217" s="23" t="s">
        <v>220</v>
      </c>
      <c r="E217" s="24">
        <v>5101.74</v>
      </c>
      <c r="F217" s="25">
        <v>2280</v>
      </c>
      <c r="G217" s="24">
        <f t="shared" si="6"/>
        <v>2.2376052631578944</v>
      </c>
      <c r="H217" s="23" t="s">
        <v>759</v>
      </c>
      <c r="I217" s="23" t="s">
        <v>760</v>
      </c>
      <c r="J217" s="23" t="str">
        <f t="shared" si="7"/>
        <v>OK</v>
      </c>
      <c r="K217" s="23"/>
    </row>
    <row r="218" spans="1:11" x14ac:dyDescent="0.25">
      <c r="A218" s="23" t="s">
        <v>978</v>
      </c>
      <c r="B218" s="23">
        <v>444</v>
      </c>
      <c r="C218" s="23">
        <v>445</v>
      </c>
      <c r="D218" s="23" t="s">
        <v>221</v>
      </c>
      <c r="E218" s="24">
        <v>37718.46</v>
      </c>
      <c r="F218" s="25">
        <v>3470</v>
      </c>
      <c r="G218" s="24">
        <f t="shared" si="6"/>
        <v>10.869873198847262</v>
      </c>
      <c r="H218" s="23" t="s">
        <v>759</v>
      </c>
      <c r="I218" s="23" t="s">
        <v>760</v>
      </c>
      <c r="J218" s="23" t="str">
        <f t="shared" si="7"/>
        <v>OK</v>
      </c>
      <c r="K218" s="23"/>
    </row>
    <row r="219" spans="1:11" x14ac:dyDescent="0.25">
      <c r="A219" s="23" t="s">
        <v>979</v>
      </c>
      <c r="B219" s="23">
        <v>446</v>
      </c>
      <c r="C219" s="23">
        <v>447</v>
      </c>
      <c r="D219" s="23" t="s">
        <v>222</v>
      </c>
      <c r="E219" s="24">
        <v>242.68</v>
      </c>
      <c r="F219" s="25">
        <v>300</v>
      </c>
      <c r="G219" s="24">
        <f t="shared" si="6"/>
        <v>0.80893333333333339</v>
      </c>
      <c r="H219" s="23" t="s">
        <v>759</v>
      </c>
      <c r="I219" s="23" t="s">
        <v>760</v>
      </c>
      <c r="J219" s="23" t="str">
        <f t="shared" si="7"/>
        <v>OK</v>
      </c>
      <c r="K219" s="23"/>
    </row>
    <row r="220" spans="1:11" x14ac:dyDescent="0.25">
      <c r="A220" s="23" t="s">
        <v>980</v>
      </c>
      <c r="B220" s="23">
        <v>448</v>
      </c>
      <c r="C220" s="23">
        <v>449</v>
      </c>
      <c r="D220" s="23" t="s">
        <v>223</v>
      </c>
      <c r="E220" s="24">
        <v>1395.24</v>
      </c>
      <c r="F220" s="25">
        <v>1350</v>
      </c>
      <c r="G220" s="24">
        <f t="shared" si="6"/>
        <v>1.033511111111111</v>
      </c>
      <c r="H220" s="23" t="s">
        <v>759</v>
      </c>
      <c r="I220" s="23" t="s">
        <v>760</v>
      </c>
      <c r="J220" s="23" t="str">
        <f t="shared" si="7"/>
        <v>OK</v>
      </c>
      <c r="K220" s="23"/>
    </row>
    <row r="221" spans="1:11" x14ac:dyDescent="0.25">
      <c r="A221" s="23" t="s">
        <v>981</v>
      </c>
      <c r="B221" s="23">
        <v>450</v>
      </c>
      <c r="C221" s="23">
        <v>451</v>
      </c>
      <c r="D221" s="23" t="s">
        <v>224</v>
      </c>
      <c r="E221" s="24">
        <v>2245.96</v>
      </c>
      <c r="F221" s="25">
        <v>1780</v>
      </c>
      <c r="G221" s="24">
        <f t="shared" si="6"/>
        <v>1.2617752808988765</v>
      </c>
      <c r="H221" s="23" t="s">
        <v>759</v>
      </c>
      <c r="I221" s="23" t="s">
        <v>760</v>
      </c>
      <c r="J221" s="23" t="str">
        <f t="shared" si="7"/>
        <v>OK</v>
      </c>
      <c r="K221" s="23"/>
    </row>
    <row r="222" spans="1:11" x14ac:dyDescent="0.25">
      <c r="A222" s="23" t="s">
        <v>982</v>
      </c>
      <c r="B222" s="23">
        <v>452</v>
      </c>
      <c r="C222" s="23">
        <v>453</v>
      </c>
      <c r="D222" s="23" t="s">
        <v>225</v>
      </c>
      <c r="E222" s="24">
        <v>1447.36</v>
      </c>
      <c r="F222" s="25">
        <v>1235</v>
      </c>
      <c r="G222" s="24">
        <f t="shared" si="6"/>
        <v>1.1719514170040486</v>
      </c>
      <c r="H222" s="23" t="s">
        <v>759</v>
      </c>
      <c r="I222" s="23" t="s">
        <v>760</v>
      </c>
      <c r="J222" s="23" t="str">
        <f t="shared" si="7"/>
        <v>OK</v>
      </c>
      <c r="K222" s="23"/>
    </row>
    <row r="223" spans="1:11" x14ac:dyDescent="0.25">
      <c r="A223" s="23" t="s">
        <v>983</v>
      </c>
      <c r="B223" s="23">
        <v>454</v>
      </c>
      <c r="C223" s="23">
        <v>455</v>
      </c>
      <c r="D223" s="23" t="s">
        <v>226</v>
      </c>
      <c r="E223" s="24">
        <v>1141.29</v>
      </c>
      <c r="F223" s="25">
        <v>975</v>
      </c>
      <c r="G223" s="24">
        <f t="shared" si="6"/>
        <v>1.1705538461538461</v>
      </c>
      <c r="H223" s="23" t="s">
        <v>759</v>
      </c>
      <c r="I223" s="23" t="s">
        <v>760</v>
      </c>
      <c r="J223" s="23" t="str">
        <f t="shared" si="7"/>
        <v>OK</v>
      </c>
      <c r="K223" s="23"/>
    </row>
    <row r="224" spans="1:11" x14ac:dyDescent="0.25">
      <c r="A224" s="23" t="s">
        <v>984</v>
      </c>
      <c r="B224" s="23">
        <v>456</v>
      </c>
      <c r="C224" s="23">
        <v>457</v>
      </c>
      <c r="D224" s="23" t="s">
        <v>227</v>
      </c>
      <c r="E224" s="24">
        <v>13655.33</v>
      </c>
      <c r="F224" s="25">
        <v>3955</v>
      </c>
      <c r="G224" s="24">
        <f t="shared" si="6"/>
        <v>3.4526750948166876</v>
      </c>
      <c r="H224" s="23" t="s">
        <v>759</v>
      </c>
      <c r="I224" s="23" t="s">
        <v>760</v>
      </c>
      <c r="J224" s="23" t="str">
        <f t="shared" si="7"/>
        <v>OK</v>
      </c>
      <c r="K224" s="23"/>
    </row>
    <row r="225" spans="1:11" x14ac:dyDescent="0.25">
      <c r="A225" s="23" t="s">
        <v>985</v>
      </c>
      <c r="B225" s="23">
        <v>458</v>
      </c>
      <c r="C225" s="23">
        <v>459</v>
      </c>
      <c r="D225" s="23" t="s">
        <v>228</v>
      </c>
      <c r="E225" s="24">
        <v>23059.08</v>
      </c>
      <c r="F225" s="25">
        <v>3300</v>
      </c>
      <c r="G225" s="24">
        <f t="shared" si="6"/>
        <v>6.9876000000000005</v>
      </c>
      <c r="H225" s="23" t="s">
        <v>759</v>
      </c>
      <c r="I225" s="23" t="s">
        <v>760</v>
      </c>
      <c r="J225" s="23" t="str">
        <f t="shared" si="7"/>
        <v>OK</v>
      </c>
      <c r="K225" s="23"/>
    </row>
    <row r="226" spans="1:11" x14ac:dyDescent="0.25">
      <c r="A226" s="23" t="s">
        <v>986</v>
      </c>
      <c r="B226" s="23">
        <v>460</v>
      </c>
      <c r="C226" s="23">
        <v>461</v>
      </c>
      <c r="D226" s="23" t="s">
        <v>229</v>
      </c>
      <c r="E226" s="24">
        <v>12840.52</v>
      </c>
      <c r="F226" s="25">
        <v>1881</v>
      </c>
      <c r="G226" s="24">
        <f t="shared" si="6"/>
        <v>6.8264327485380116</v>
      </c>
      <c r="H226" s="23" t="s">
        <v>759</v>
      </c>
      <c r="I226" s="23" t="s">
        <v>760</v>
      </c>
      <c r="J226" s="23" t="str">
        <f t="shared" si="7"/>
        <v>OK</v>
      </c>
      <c r="K226" s="23"/>
    </row>
    <row r="227" spans="1:11" x14ac:dyDescent="0.25">
      <c r="A227" s="23" t="s">
        <v>987</v>
      </c>
      <c r="B227" s="23">
        <v>462</v>
      </c>
      <c r="C227" s="23">
        <v>463</v>
      </c>
      <c r="D227" s="23" t="s">
        <v>230</v>
      </c>
      <c r="E227" s="24">
        <v>11491.43</v>
      </c>
      <c r="F227" s="25">
        <v>1513</v>
      </c>
      <c r="G227" s="24">
        <f t="shared" si="6"/>
        <v>7.5951288830138797</v>
      </c>
      <c r="H227" s="23" t="s">
        <v>759</v>
      </c>
      <c r="I227" s="23" t="s">
        <v>760</v>
      </c>
      <c r="J227" s="23" t="str">
        <f t="shared" si="7"/>
        <v>OK</v>
      </c>
      <c r="K227" s="23"/>
    </row>
    <row r="228" spans="1:11" x14ac:dyDescent="0.25">
      <c r="A228" s="23" t="s">
        <v>988</v>
      </c>
      <c r="B228" s="23">
        <v>464</v>
      </c>
      <c r="C228" s="23">
        <v>465</v>
      </c>
      <c r="D228" s="23" t="s">
        <v>231</v>
      </c>
      <c r="E228" s="24">
        <v>1923.5</v>
      </c>
      <c r="F228" s="25">
        <v>640</v>
      </c>
      <c r="G228" s="24">
        <f t="shared" si="6"/>
        <v>3.0054687499999999</v>
      </c>
      <c r="H228" s="23" t="s">
        <v>759</v>
      </c>
      <c r="I228" s="23" t="s">
        <v>760</v>
      </c>
      <c r="J228" s="23" t="str">
        <f t="shared" si="7"/>
        <v>OK</v>
      </c>
      <c r="K228" s="23"/>
    </row>
    <row r="229" spans="1:11" x14ac:dyDescent="0.25">
      <c r="A229" s="23" t="s">
        <v>989</v>
      </c>
      <c r="B229" s="23">
        <v>466</v>
      </c>
      <c r="C229" s="23">
        <v>467</v>
      </c>
      <c r="D229" s="23" t="s">
        <v>232</v>
      </c>
      <c r="E229" s="24">
        <v>32516.080000000002</v>
      </c>
      <c r="F229" s="25">
        <v>7211</v>
      </c>
      <c r="G229" s="24">
        <f t="shared" si="6"/>
        <v>4.5092331160726671</v>
      </c>
      <c r="H229" s="23" t="s">
        <v>759</v>
      </c>
      <c r="I229" s="23" t="s">
        <v>760</v>
      </c>
      <c r="J229" s="23" t="str">
        <f t="shared" si="7"/>
        <v>OK</v>
      </c>
      <c r="K229" s="23"/>
    </row>
    <row r="230" spans="1:11" x14ac:dyDescent="0.25">
      <c r="A230" s="23" t="s">
        <v>990</v>
      </c>
      <c r="B230" s="23">
        <v>468</v>
      </c>
      <c r="C230" s="23">
        <v>469</v>
      </c>
      <c r="D230" s="23" t="s">
        <v>233</v>
      </c>
      <c r="E230" s="24">
        <v>1348.03</v>
      </c>
      <c r="F230" s="25">
        <v>1350</v>
      </c>
      <c r="G230" s="24">
        <f t="shared" si="6"/>
        <v>0.99854074074074073</v>
      </c>
      <c r="H230" s="23" t="s">
        <v>759</v>
      </c>
      <c r="I230" s="23" t="s">
        <v>760</v>
      </c>
      <c r="J230" s="23" t="str">
        <f t="shared" si="7"/>
        <v>OK</v>
      </c>
      <c r="K230" s="23"/>
    </row>
    <row r="231" spans="1:11" x14ac:dyDescent="0.25">
      <c r="A231" s="23" t="s">
        <v>991</v>
      </c>
      <c r="B231" s="23">
        <v>470</v>
      </c>
      <c r="C231" s="23">
        <v>471</v>
      </c>
      <c r="D231" s="23" t="s">
        <v>234</v>
      </c>
      <c r="E231" s="24">
        <v>875.88</v>
      </c>
      <c r="F231" s="25">
        <v>1100</v>
      </c>
      <c r="G231" s="24">
        <f t="shared" si="6"/>
        <v>0.79625454545454544</v>
      </c>
      <c r="H231" s="23" t="s">
        <v>759</v>
      </c>
      <c r="I231" s="23" t="s">
        <v>760</v>
      </c>
      <c r="J231" s="23" t="str">
        <f t="shared" si="7"/>
        <v>OK</v>
      </c>
      <c r="K231" s="23"/>
    </row>
    <row r="232" spans="1:11" x14ac:dyDescent="0.25">
      <c r="A232" s="23" t="s">
        <v>992</v>
      </c>
      <c r="B232" s="23">
        <v>472</v>
      </c>
      <c r="C232" s="23">
        <v>473</v>
      </c>
      <c r="D232" s="23" t="s">
        <v>235</v>
      </c>
      <c r="E232" s="24">
        <v>103.2</v>
      </c>
      <c r="F232" s="25">
        <v>240</v>
      </c>
      <c r="G232" s="24">
        <f t="shared" si="6"/>
        <v>0.43</v>
      </c>
      <c r="H232" s="23" t="s">
        <v>759</v>
      </c>
      <c r="I232" s="23" t="s">
        <v>760</v>
      </c>
      <c r="J232" s="23" t="str">
        <f t="shared" si="7"/>
        <v>OK</v>
      </c>
      <c r="K232" s="23"/>
    </row>
    <row r="233" spans="1:11" x14ac:dyDescent="0.25">
      <c r="A233" s="23" t="s">
        <v>993</v>
      </c>
      <c r="B233" s="23">
        <v>474</v>
      </c>
      <c r="C233" s="23">
        <v>475</v>
      </c>
      <c r="D233" s="23" t="s">
        <v>236</v>
      </c>
      <c r="E233" s="24">
        <v>994.59</v>
      </c>
      <c r="F233" s="25">
        <v>95</v>
      </c>
      <c r="G233" s="24">
        <f t="shared" si="6"/>
        <v>10.469368421052632</v>
      </c>
      <c r="H233" s="23" t="s">
        <v>759</v>
      </c>
      <c r="I233" s="23" t="s">
        <v>760</v>
      </c>
      <c r="J233" s="23" t="str">
        <f t="shared" si="7"/>
        <v>OK</v>
      </c>
      <c r="K233" s="23"/>
    </row>
    <row r="234" spans="1:11" x14ac:dyDescent="0.25">
      <c r="A234" s="23" t="s">
        <v>994</v>
      </c>
      <c r="B234" s="23">
        <v>476</v>
      </c>
      <c r="C234" s="23">
        <v>477</v>
      </c>
      <c r="D234" s="23" t="s">
        <v>237</v>
      </c>
      <c r="E234" s="24">
        <v>4785.07</v>
      </c>
      <c r="F234" s="25">
        <v>99</v>
      </c>
      <c r="G234" s="24">
        <f t="shared" si="6"/>
        <v>48.334040404040401</v>
      </c>
      <c r="H234" s="23" t="s">
        <v>759</v>
      </c>
      <c r="I234" s="23" t="s">
        <v>760</v>
      </c>
      <c r="J234" s="23" t="str">
        <f t="shared" si="7"/>
        <v>OK</v>
      </c>
      <c r="K234" s="23"/>
    </row>
    <row r="235" spans="1:11" x14ac:dyDescent="0.25">
      <c r="A235" s="23" t="s">
        <v>995</v>
      </c>
      <c r="B235" s="23">
        <v>478</v>
      </c>
      <c r="C235" s="23">
        <v>479</v>
      </c>
      <c r="D235" s="23" t="s">
        <v>238</v>
      </c>
      <c r="E235" s="24">
        <v>1069.2</v>
      </c>
      <c r="F235" s="25">
        <v>200</v>
      </c>
      <c r="G235" s="24">
        <f t="shared" si="6"/>
        <v>5.3460000000000001</v>
      </c>
      <c r="H235" s="23" t="s">
        <v>759</v>
      </c>
      <c r="I235" s="23" t="s">
        <v>760</v>
      </c>
      <c r="J235" s="23" t="str">
        <f t="shared" si="7"/>
        <v>OK</v>
      </c>
      <c r="K235" s="23"/>
    </row>
    <row r="236" spans="1:11" x14ac:dyDescent="0.25">
      <c r="A236" s="23" t="s">
        <v>996</v>
      </c>
      <c r="B236" s="23">
        <v>480</v>
      </c>
      <c r="C236" s="23">
        <v>481</v>
      </c>
      <c r="D236" s="23" t="s">
        <v>239</v>
      </c>
      <c r="E236" s="24">
        <v>243.16</v>
      </c>
      <c r="F236" s="25">
        <v>120</v>
      </c>
      <c r="G236" s="24">
        <f t="shared" si="6"/>
        <v>2.0263333333333331</v>
      </c>
      <c r="H236" s="23" t="s">
        <v>759</v>
      </c>
      <c r="I236" s="23" t="s">
        <v>760</v>
      </c>
      <c r="J236" s="23" t="str">
        <f t="shared" si="7"/>
        <v>OK</v>
      </c>
      <c r="K236" s="23"/>
    </row>
    <row r="237" spans="1:11" ht="26.4" x14ac:dyDescent="0.25">
      <c r="A237" s="23" t="s">
        <v>997</v>
      </c>
      <c r="B237" s="23">
        <v>482</v>
      </c>
      <c r="C237" s="23">
        <v>483</v>
      </c>
      <c r="D237" s="23" t="s">
        <v>240</v>
      </c>
      <c r="E237" s="24">
        <v>945000</v>
      </c>
      <c r="F237" s="25">
        <v>90</v>
      </c>
      <c r="G237" s="24">
        <f t="shared" si="6"/>
        <v>10500</v>
      </c>
      <c r="H237" s="23" t="s">
        <v>759</v>
      </c>
      <c r="I237" s="23" t="s">
        <v>760</v>
      </c>
      <c r="J237" s="23" t="str">
        <f t="shared" si="7"/>
        <v>OK</v>
      </c>
      <c r="K237" s="23"/>
    </row>
    <row r="238" spans="1:11" x14ac:dyDescent="0.25">
      <c r="A238" s="23" t="s">
        <v>998</v>
      </c>
      <c r="B238" s="23">
        <v>484</v>
      </c>
      <c r="C238" s="23">
        <v>485</v>
      </c>
      <c r="D238" s="23" t="s">
        <v>241</v>
      </c>
      <c r="E238" s="24">
        <v>937800</v>
      </c>
      <c r="F238" s="25">
        <v>90</v>
      </c>
      <c r="G238" s="24">
        <f t="shared" si="6"/>
        <v>10420</v>
      </c>
      <c r="H238" s="23" t="s">
        <v>759</v>
      </c>
      <c r="I238" s="23" t="s">
        <v>760</v>
      </c>
      <c r="J238" s="23" t="str">
        <f t="shared" si="7"/>
        <v>OK</v>
      </c>
      <c r="K238" s="23"/>
    </row>
    <row r="239" spans="1:11" x14ac:dyDescent="0.25">
      <c r="A239" s="23" t="s">
        <v>999</v>
      </c>
      <c r="B239" s="23">
        <v>486</v>
      </c>
      <c r="C239" s="23">
        <v>487</v>
      </c>
      <c r="D239" s="23" t="s">
        <v>242</v>
      </c>
      <c r="E239" s="24">
        <v>4650</v>
      </c>
      <c r="F239" s="25">
        <v>3</v>
      </c>
      <c r="G239" s="24">
        <f t="shared" si="6"/>
        <v>1550</v>
      </c>
      <c r="H239" s="23" t="s">
        <v>759</v>
      </c>
      <c r="I239" s="23" t="s">
        <v>760</v>
      </c>
      <c r="J239" s="23" t="str">
        <f t="shared" si="7"/>
        <v>OK</v>
      </c>
      <c r="K239" s="23"/>
    </row>
    <row r="240" spans="1:11" x14ac:dyDescent="0.25">
      <c r="A240" s="23" t="s">
        <v>1000</v>
      </c>
      <c r="B240" s="23">
        <v>488</v>
      </c>
      <c r="C240" s="23">
        <v>489</v>
      </c>
      <c r="D240" s="23" t="s">
        <v>243</v>
      </c>
      <c r="E240" s="24">
        <v>467.1</v>
      </c>
      <c r="F240" s="25">
        <v>50</v>
      </c>
      <c r="G240" s="24">
        <f t="shared" si="6"/>
        <v>9.3420000000000005</v>
      </c>
      <c r="H240" s="23" t="s">
        <v>759</v>
      </c>
      <c r="I240" s="23" t="s">
        <v>760</v>
      </c>
      <c r="J240" s="23" t="str">
        <f t="shared" si="7"/>
        <v>OK</v>
      </c>
      <c r="K240" s="23"/>
    </row>
    <row r="241" spans="1:11" x14ac:dyDescent="0.25">
      <c r="A241" s="23" t="s">
        <v>1001</v>
      </c>
      <c r="B241" s="23">
        <v>490</v>
      </c>
      <c r="C241" s="23">
        <v>491</v>
      </c>
      <c r="D241" s="23" t="s">
        <v>244</v>
      </c>
      <c r="E241" s="24">
        <v>806.4</v>
      </c>
      <c r="F241" s="25">
        <v>600</v>
      </c>
      <c r="G241" s="24">
        <f t="shared" si="6"/>
        <v>1.3439999999999999</v>
      </c>
      <c r="H241" s="23" t="s">
        <v>759</v>
      </c>
      <c r="I241" s="23" t="s">
        <v>760</v>
      </c>
      <c r="J241" s="23" t="str">
        <f t="shared" si="7"/>
        <v>OK</v>
      </c>
      <c r="K241" s="23"/>
    </row>
    <row r="242" spans="1:11" x14ac:dyDescent="0.25">
      <c r="A242" s="23" t="s">
        <v>1002</v>
      </c>
      <c r="B242" s="23">
        <v>492</v>
      </c>
      <c r="C242" s="23">
        <v>493</v>
      </c>
      <c r="D242" s="23" t="s">
        <v>245</v>
      </c>
      <c r="E242" s="24">
        <v>74.45</v>
      </c>
      <c r="F242" s="25">
        <v>30</v>
      </c>
      <c r="G242" s="24">
        <f t="shared" si="6"/>
        <v>2.4816666666666669</v>
      </c>
      <c r="H242" s="23" t="s">
        <v>759</v>
      </c>
      <c r="I242" s="23" t="s">
        <v>760</v>
      </c>
      <c r="J242" s="23" t="str">
        <f t="shared" si="7"/>
        <v>OK</v>
      </c>
      <c r="K242" s="23"/>
    </row>
    <row r="243" spans="1:11" x14ac:dyDescent="0.25">
      <c r="A243" s="23" t="s">
        <v>1003</v>
      </c>
      <c r="B243" s="23">
        <v>494</v>
      </c>
      <c r="C243" s="23">
        <v>495</v>
      </c>
      <c r="D243" s="23" t="s">
        <v>246</v>
      </c>
      <c r="E243" s="24">
        <v>1400.25</v>
      </c>
      <c r="F243" s="25">
        <v>1</v>
      </c>
      <c r="G243" s="24">
        <f t="shared" si="6"/>
        <v>1400.25</v>
      </c>
      <c r="H243" s="23" t="s">
        <v>759</v>
      </c>
      <c r="I243" s="23" t="s">
        <v>760</v>
      </c>
      <c r="J243" s="23" t="str">
        <f t="shared" si="7"/>
        <v>OK</v>
      </c>
      <c r="K243" s="23"/>
    </row>
    <row r="244" spans="1:11" x14ac:dyDescent="0.25">
      <c r="A244" s="23" t="s">
        <v>1004</v>
      </c>
      <c r="B244" s="23">
        <v>496</v>
      </c>
      <c r="C244" s="23">
        <v>497</v>
      </c>
      <c r="D244" s="23" t="s">
        <v>247</v>
      </c>
      <c r="E244" s="24">
        <v>2217.73</v>
      </c>
      <c r="F244" s="25">
        <v>1410</v>
      </c>
      <c r="G244" s="24">
        <f t="shared" si="6"/>
        <v>1.5728581560283688</v>
      </c>
      <c r="H244" s="23" t="s">
        <v>759</v>
      </c>
      <c r="I244" s="23" t="s">
        <v>760</v>
      </c>
      <c r="J244" s="23" t="str">
        <f t="shared" si="7"/>
        <v>OK</v>
      </c>
      <c r="K244" s="23"/>
    </row>
    <row r="245" spans="1:11" x14ac:dyDescent="0.25">
      <c r="A245" s="23" t="s">
        <v>1005</v>
      </c>
      <c r="B245" s="23">
        <v>498</v>
      </c>
      <c r="C245" s="23">
        <v>499</v>
      </c>
      <c r="D245" s="23" t="s">
        <v>248</v>
      </c>
      <c r="E245" s="24">
        <v>4048.92</v>
      </c>
      <c r="F245" s="25">
        <v>90</v>
      </c>
      <c r="G245" s="24">
        <f t="shared" si="6"/>
        <v>44.988</v>
      </c>
      <c r="H245" s="23" t="s">
        <v>759</v>
      </c>
      <c r="I245" s="23" t="s">
        <v>760</v>
      </c>
      <c r="J245" s="23" t="str">
        <f t="shared" si="7"/>
        <v>OK</v>
      </c>
      <c r="K245" s="23"/>
    </row>
    <row r="246" spans="1:11" x14ac:dyDescent="0.25">
      <c r="A246" s="23" t="s">
        <v>1006</v>
      </c>
      <c r="B246" s="23">
        <v>500</v>
      </c>
      <c r="C246" s="23">
        <v>501</v>
      </c>
      <c r="D246" s="23" t="s">
        <v>249</v>
      </c>
      <c r="E246" s="24">
        <v>210160</v>
      </c>
      <c r="F246" s="25">
        <v>26</v>
      </c>
      <c r="G246" s="24">
        <f t="shared" si="6"/>
        <v>8083.0769230769229</v>
      </c>
      <c r="H246" s="23" t="s">
        <v>759</v>
      </c>
      <c r="I246" s="23" t="s">
        <v>760</v>
      </c>
      <c r="J246" s="23" t="str">
        <f t="shared" si="7"/>
        <v>OK</v>
      </c>
      <c r="K246" s="23"/>
    </row>
    <row r="247" spans="1:11" x14ac:dyDescent="0.25">
      <c r="A247" s="23" t="s">
        <v>1007</v>
      </c>
      <c r="B247" s="23">
        <v>502</v>
      </c>
      <c r="C247" s="23">
        <v>503</v>
      </c>
      <c r="D247" s="23" t="s">
        <v>250</v>
      </c>
      <c r="E247" s="24">
        <v>107.89</v>
      </c>
      <c r="F247" s="25">
        <v>10</v>
      </c>
      <c r="G247" s="24">
        <f t="shared" si="6"/>
        <v>10.789</v>
      </c>
      <c r="H247" s="23" t="s">
        <v>759</v>
      </c>
      <c r="I247" s="23" t="s">
        <v>760</v>
      </c>
      <c r="J247" s="23" t="str">
        <f t="shared" si="7"/>
        <v>OK</v>
      </c>
      <c r="K247" s="23"/>
    </row>
    <row r="248" spans="1:11" x14ac:dyDescent="0.25">
      <c r="A248" s="23" t="s">
        <v>1008</v>
      </c>
      <c r="B248" s="23">
        <v>504</v>
      </c>
      <c r="C248" s="23">
        <v>505</v>
      </c>
      <c r="D248" s="23" t="s">
        <v>251</v>
      </c>
      <c r="E248" s="24">
        <v>1269.3699999999999</v>
      </c>
      <c r="F248" s="25">
        <v>1000</v>
      </c>
      <c r="G248" s="24">
        <f t="shared" si="6"/>
        <v>1.2693699999999999</v>
      </c>
      <c r="H248" s="23" t="s">
        <v>759</v>
      </c>
      <c r="I248" s="23" t="s">
        <v>760</v>
      </c>
      <c r="J248" s="23" t="str">
        <f t="shared" si="7"/>
        <v>OK</v>
      </c>
      <c r="K248" s="23"/>
    </row>
    <row r="249" spans="1:11" x14ac:dyDescent="0.25">
      <c r="A249" s="23" t="s">
        <v>1009</v>
      </c>
      <c r="B249" s="23">
        <v>506</v>
      </c>
      <c r="C249" s="23">
        <v>507</v>
      </c>
      <c r="D249" s="23" t="s">
        <v>252</v>
      </c>
      <c r="E249" s="24">
        <v>2999.16</v>
      </c>
      <c r="F249" s="25">
        <v>100</v>
      </c>
      <c r="G249" s="24">
        <f t="shared" si="6"/>
        <v>29.991599999999998</v>
      </c>
      <c r="H249" s="23" t="s">
        <v>759</v>
      </c>
      <c r="I249" s="23" t="s">
        <v>760</v>
      </c>
      <c r="J249" s="23" t="str">
        <f t="shared" si="7"/>
        <v>OK</v>
      </c>
      <c r="K249" s="23"/>
    </row>
    <row r="250" spans="1:11" x14ac:dyDescent="0.25">
      <c r="A250" s="23" t="s">
        <v>1010</v>
      </c>
      <c r="B250" s="23">
        <v>508</v>
      </c>
      <c r="C250" s="23">
        <v>509</v>
      </c>
      <c r="D250" s="23" t="s">
        <v>253</v>
      </c>
      <c r="E250" s="24">
        <v>675.96</v>
      </c>
      <c r="F250" s="25">
        <v>120</v>
      </c>
      <c r="G250" s="24">
        <f t="shared" si="6"/>
        <v>5.633</v>
      </c>
      <c r="H250" s="23" t="s">
        <v>759</v>
      </c>
      <c r="I250" s="23" t="s">
        <v>760</v>
      </c>
      <c r="J250" s="23" t="str">
        <f t="shared" si="7"/>
        <v>OK</v>
      </c>
      <c r="K250" s="23"/>
    </row>
    <row r="251" spans="1:11" x14ac:dyDescent="0.25">
      <c r="A251" s="23" t="s">
        <v>1011</v>
      </c>
      <c r="B251" s="23">
        <v>510</v>
      </c>
      <c r="C251" s="23">
        <v>511</v>
      </c>
      <c r="D251" s="23" t="s">
        <v>254</v>
      </c>
      <c r="E251" s="24">
        <v>20822.259999999998</v>
      </c>
      <c r="F251" s="25">
        <v>13030</v>
      </c>
      <c r="G251" s="24">
        <f t="shared" si="6"/>
        <v>1.5980245587106676</v>
      </c>
      <c r="H251" s="23" t="s">
        <v>759</v>
      </c>
      <c r="I251" s="23" t="s">
        <v>760</v>
      </c>
      <c r="J251" s="23" t="str">
        <f t="shared" si="7"/>
        <v>OK</v>
      </c>
      <c r="K251" s="23"/>
    </row>
    <row r="252" spans="1:11" x14ac:dyDescent="0.25">
      <c r="A252" s="23" t="s">
        <v>1012</v>
      </c>
      <c r="B252" s="23">
        <v>512</v>
      </c>
      <c r="C252" s="23">
        <v>513</v>
      </c>
      <c r="D252" s="23" t="s">
        <v>255</v>
      </c>
      <c r="E252" s="24">
        <v>583.54</v>
      </c>
      <c r="F252" s="25">
        <v>42</v>
      </c>
      <c r="G252" s="24">
        <f t="shared" si="6"/>
        <v>13.893809523809523</v>
      </c>
      <c r="H252" s="23" t="s">
        <v>759</v>
      </c>
      <c r="I252" s="23" t="s">
        <v>760</v>
      </c>
      <c r="J252" s="23" t="str">
        <f t="shared" si="7"/>
        <v>OK</v>
      </c>
      <c r="K252" s="23"/>
    </row>
    <row r="253" spans="1:11" x14ac:dyDescent="0.25">
      <c r="A253" s="23" t="s">
        <v>1013</v>
      </c>
      <c r="B253" s="23">
        <v>514</v>
      </c>
      <c r="C253" s="23">
        <v>515</v>
      </c>
      <c r="D253" s="23" t="s">
        <v>256</v>
      </c>
      <c r="E253" s="24">
        <v>3824.84</v>
      </c>
      <c r="F253" s="25">
        <v>205</v>
      </c>
      <c r="G253" s="24">
        <f t="shared" si="6"/>
        <v>18.657756097560977</v>
      </c>
      <c r="H253" s="23" t="s">
        <v>759</v>
      </c>
      <c r="I253" s="23" t="s">
        <v>760</v>
      </c>
      <c r="J253" s="23" t="str">
        <f t="shared" si="7"/>
        <v>OK</v>
      </c>
      <c r="K253" s="23"/>
    </row>
    <row r="254" spans="1:11" x14ac:dyDescent="0.25">
      <c r="A254" s="23" t="s">
        <v>1014</v>
      </c>
      <c r="B254" s="23">
        <v>516</v>
      </c>
      <c r="C254" s="23">
        <v>517</v>
      </c>
      <c r="D254" s="23" t="s">
        <v>257</v>
      </c>
      <c r="E254" s="24">
        <v>1822.93</v>
      </c>
      <c r="F254" s="25">
        <v>75</v>
      </c>
      <c r="G254" s="24">
        <f t="shared" si="6"/>
        <v>24.305733333333333</v>
      </c>
      <c r="H254" s="23" t="s">
        <v>759</v>
      </c>
      <c r="I254" s="23" t="s">
        <v>760</v>
      </c>
      <c r="J254" s="23" t="str">
        <f t="shared" si="7"/>
        <v>OK</v>
      </c>
      <c r="K254" s="23"/>
    </row>
    <row r="255" spans="1:11" x14ac:dyDescent="0.25">
      <c r="A255" s="23" t="s">
        <v>1015</v>
      </c>
      <c r="B255" s="23">
        <v>518</v>
      </c>
      <c r="C255" s="23">
        <v>519</v>
      </c>
      <c r="D255" s="23" t="s">
        <v>258</v>
      </c>
      <c r="E255" s="24">
        <v>1927.31</v>
      </c>
      <c r="F255" s="25">
        <v>90</v>
      </c>
      <c r="G255" s="24">
        <f t="shared" si="6"/>
        <v>21.414555555555555</v>
      </c>
      <c r="H255" s="23" t="s">
        <v>759</v>
      </c>
      <c r="I255" s="23" t="s">
        <v>760</v>
      </c>
      <c r="J255" s="23" t="str">
        <f t="shared" si="7"/>
        <v>OK</v>
      </c>
      <c r="K255" s="23"/>
    </row>
    <row r="256" spans="1:11" x14ac:dyDescent="0.25">
      <c r="A256" s="23" t="s">
        <v>1016</v>
      </c>
      <c r="B256" s="23">
        <v>520</v>
      </c>
      <c r="C256" s="23">
        <v>521</v>
      </c>
      <c r="D256" s="23" t="s">
        <v>259</v>
      </c>
      <c r="E256" s="24">
        <v>421.35</v>
      </c>
      <c r="F256" s="25">
        <v>1560</v>
      </c>
      <c r="G256" s="24">
        <f t="shared" si="6"/>
        <v>0.27009615384615387</v>
      </c>
      <c r="H256" s="23" t="s">
        <v>759</v>
      </c>
      <c r="I256" s="23" t="s">
        <v>760</v>
      </c>
      <c r="J256" s="23" t="str">
        <f t="shared" si="7"/>
        <v>OK</v>
      </c>
      <c r="K256" s="23"/>
    </row>
    <row r="257" spans="1:11" x14ac:dyDescent="0.25">
      <c r="A257" s="23" t="s">
        <v>1017</v>
      </c>
      <c r="B257" s="23">
        <v>522</v>
      </c>
      <c r="C257" s="23">
        <v>523</v>
      </c>
      <c r="D257" s="23" t="s">
        <v>260</v>
      </c>
      <c r="E257" s="24">
        <v>476.28</v>
      </c>
      <c r="F257" s="25">
        <v>700</v>
      </c>
      <c r="G257" s="24">
        <f t="shared" si="6"/>
        <v>0.6804</v>
      </c>
      <c r="H257" s="23" t="s">
        <v>759</v>
      </c>
      <c r="I257" s="23" t="s">
        <v>760</v>
      </c>
      <c r="J257" s="23" t="str">
        <f t="shared" si="7"/>
        <v>OK</v>
      </c>
      <c r="K257" s="23"/>
    </row>
    <row r="258" spans="1:11" x14ac:dyDescent="0.25">
      <c r="A258" s="23" t="s">
        <v>1018</v>
      </c>
      <c r="B258" s="23">
        <v>524</v>
      </c>
      <c r="C258" s="23">
        <v>525</v>
      </c>
      <c r="D258" s="23" t="s">
        <v>261</v>
      </c>
      <c r="E258" s="24">
        <v>4580.0600000000004</v>
      </c>
      <c r="F258" s="25">
        <v>4710</v>
      </c>
      <c r="G258" s="24">
        <f t="shared" ref="G258:G321" si="8">IFERROR(E258/F258,"")</f>
        <v>0.97241188959660307</v>
      </c>
      <c r="H258" s="23" t="s">
        <v>759</v>
      </c>
      <c r="I258" s="23" t="s">
        <v>760</v>
      </c>
      <c r="J258" s="23" t="str">
        <f t="shared" ref="J258:J321" si="9">IF(OR(E258="",F258=""),"LIPSESC DATE",IF(F258=0,"CANTITATE 0","OK"))</f>
        <v>OK</v>
      </c>
      <c r="K258" s="23"/>
    </row>
    <row r="259" spans="1:11" x14ac:dyDescent="0.25">
      <c r="A259" s="23" t="s">
        <v>1019</v>
      </c>
      <c r="B259" s="23">
        <v>526</v>
      </c>
      <c r="C259" s="23">
        <v>527</v>
      </c>
      <c r="D259" s="23" t="s">
        <v>262</v>
      </c>
      <c r="E259" s="24">
        <v>3090.56</v>
      </c>
      <c r="F259" s="25">
        <v>800</v>
      </c>
      <c r="G259" s="24">
        <f t="shared" si="8"/>
        <v>3.8632</v>
      </c>
      <c r="H259" s="23" t="s">
        <v>759</v>
      </c>
      <c r="I259" s="23" t="s">
        <v>760</v>
      </c>
      <c r="J259" s="23" t="str">
        <f t="shared" si="9"/>
        <v>OK</v>
      </c>
      <c r="K259" s="23"/>
    </row>
    <row r="260" spans="1:11" x14ac:dyDescent="0.25">
      <c r="A260" s="23" t="s">
        <v>1020</v>
      </c>
      <c r="B260" s="23">
        <v>528</v>
      </c>
      <c r="C260" s="23">
        <v>529</v>
      </c>
      <c r="D260" s="23" t="s">
        <v>263</v>
      </c>
      <c r="E260" s="24">
        <v>615.97</v>
      </c>
      <c r="F260" s="25">
        <v>3360</v>
      </c>
      <c r="G260" s="24">
        <f t="shared" si="8"/>
        <v>0.18332440476190476</v>
      </c>
      <c r="H260" s="23" t="s">
        <v>759</v>
      </c>
      <c r="I260" s="23" t="s">
        <v>760</v>
      </c>
      <c r="J260" s="23" t="str">
        <f t="shared" si="9"/>
        <v>OK</v>
      </c>
      <c r="K260" s="23"/>
    </row>
    <row r="261" spans="1:11" x14ac:dyDescent="0.25">
      <c r="A261" s="23" t="s">
        <v>1021</v>
      </c>
      <c r="B261" s="23">
        <v>530</v>
      </c>
      <c r="C261" s="23">
        <v>531</v>
      </c>
      <c r="D261" s="23" t="s">
        <v>264</v>
      </c>
      <c r="E261" s="24">
        <v>1712.15</v>
      </c>
      <c r="F261" s="25">
        <v>757</v>
      </c>
      <c r="G261" s="24">
        <f t="shared" si="8"/>
        <v>2.2617569352708058</v>
      </c>
      <c r="H261" s="23" t="s">
        <v>759</v>
      </c>
      <c r="I261" s="23" t="s">
        <v>760</v>
      </c>
      <c r="J261" s="23" t="str">
        <f t="shared" si="9"/>
        <v>OK</v>
      </c>
      <c r="K261" s="23"/>
    </row>
    <row r="262" spans="1:11" x14ac:dyDescent="0.25">
      <c r="A262" s="23" t="s">
        <v>1022</v>
      </c>
      <c r="B262" s="23">
        <v>532</v>
      </c>
      <c r="C262" s="23">
        <v>533</v>
      </c>
      <c r="D262" s="23" t="s">
        <v>265</v>
      </c>
      <c r="E262" s="24">
        <v>2708.64</v>
      </c>
      <c r="F262" s="25">
        <v>1830</v>
      </c>
      <c r="G262" s="24">
        <f t="shared" si="8"/>
        <v>1.4801311475409835</v>
      </c>
      <c r="H262" s="23" t="s">
        <v>759</v>
      </c>
      <c r="I262" s="23" t="s">
        <v>760</v>
      </c>
      <c r="J262" s="23" t="str">
        <f t="shared" si="9"/>
        <v>OK</v>
      </c>
      <c r="K262" s="23"/>
    </row>
    <row r="263" spans="1:11" x14ac:dyDescent="0.25">
      <c r="A263" s="23" t="s">
        <v>1023</v>
      </c>
      <c r="B263" s="23">
        <v>534</v>
      </c>
      <c r="C263" s="23">
        <v>535</v>
      </c>
      <c r="D263" s="23" t="s">
        <v>266</v>
      </c>
      <c r="E263" s="24">
        <v>6228.76</v>
      </c>
      <c r="F263" s="25">
        <v>6860</v>
      </c>
      <c r="G263" s="24">
        <f t="shared" si="8"/>
        <v>0.90798250728862973</v>
      </c>
      <c r="H263" s="23" t="s">
        <v>759</v>
      </c>
      <c r="I263" s="23" t="s">
        <v>760</v>
      </c>
      <c r="J263" s="23" t="str">
        <f t="shared" si="9"/>
        <v>OK</v>
      </c>
      <c r="K263" s="23"/>
    </row>
    <row r="264" spans="1:11" x14ac:dyDescent="0.25">
      <c r="A264" s="23" t="s">
        <v>1024</v>
      </c>
      <c r="B264" s="23">
        <v>536</v>
      </c>
      <c r="C264" s="23">
        <v>537</v>
      </c>
      <c r="D264" s="23" t="s">
        <v>267</v>
      </c>
      <c r="E264" s="24">
        <v>436.31</v>
      </c>
      <c r="F264" s="25">
        <v>1240</v>
      </c>
      <c r="G264" s="24">
        <f t="shared" si="8"/>
        <v>0.35186290322580643</v>
      </c>
      <c r="H264" s="23" t="s">
        <v>759</v>
      </c>
      <c r="I264" s="23" t="s">
        <v>760</v>
      </c>
      <c r="J264" s="23" t="str">
        <f t="shared" si="9"/>
        <v>OK</v>
      </c>
      <c r="K264" s="23"/>
    </row>
    <row r="265" spans="1:11" x14ac:dyDescent="0.25">
      <c r="A265" s="23" t="s">
        <v>1025</v>
      </c>
      <c r="B265" s="23">
        <v>538</v>
      </c>
      <c r="C265" s="23">
        <v>539</v>
      </c>
      <c r="D265" s="23" t="s">
        <v>268</v>
      </c>
      <c r="E265" s="24">
        <v>3525.12</v>
      </c>
      <c r="F265" s="25">
        <v>300</v>
      </c>
      <c r="G265" s="24">
        <f t="shared" si="8"/>
        <v>11.750399999999999</v>
      </c>
      <c r="H265" s="23" t="s">
        <v>759</v>
      </c>
      <c r="I265" s="23" t="s">
        <v>760</v>
      </c>
      <c r="J265" s="23" t="str">
        <f t="shared" si="9"/>
        <v>OK</v>
      </c>
      <c r="K265" s="23"/>
    </row>
    <row r="266" spans="1:11" x14ac:dyDescent="0.25">
      <c r="A266" s="23" t="s">
        <v>1026</v>
      </c>
      <c r="B266" s="23">
        <v>540</v>
      </c>
      <c r="C266" s="23">
        <v>541</v>
      </c>
      <c r="D266" s="23" t="s">
        <v>269</v>
      </c>
      <c r="E266" s="24">
        <v>4628.62</v>
      </c>
      <c r="F266" s="25">
        <v>112</v>
      </c>
      <c r="G266" s="24">
        <f t="shared" si="8"/>
        <v>41.326964285714283</v>
      </c>
      <c r="H266" s="23" t="s">
        <v>759</v>
      </c>
      <c r="I266" s="23" t="s">
        <v>760</v>
      </c>
      <c r="J266" s="23" t="str">
        <f t="shared" si="9"/>
        <v>OK</v>
      </c>
      <c r="K266" s="23"/>
    </row>
    <row r="267" spans="1:11" x14ac:dyDescent="0.25">
      <c r="A267" s="23" t="s">
        <v>1027</v>
      </c>
      <c r="B267" s="23">
        <v>542</v>
      </c>
      <c r="C267" s="23">
        <v>543</v>
      </c>
      <c r="D267" s="23" t="s">
        <v>270</v>
      </c>
      <c r="E267" s="24">
        <v>998.7</v>
      </c>
      <c r="F267" s="25">
        <v>200</v>
      </c>
      <c r="G267" s="24">
        <f t="shared" si="8"/>
        <v>4.9935</v>
      </c>
      <c r="H267" s="23" t="s">
        <v>759</v>
      </c>
      <c r="I267" s="23" t="s">
        <v>760</v>
      </c>
      <c r="J267" s="23" t="str">
        <f t="shared" si="9"/>
        <v>OK</v>
      </c>
      <c r="K267" s="23"/>
    </row>
    <row r="268" spans="1:11" x14ac:dyDescent="0.25">
      <c r="A268" s="23" t="s">
        <v>1028</v>
      </c>
      <c r="B268" s="23">
        <v>544</v>
      </c>
      <c r="C268" s="23">
        <v>545</v>
      </c>
      <c r="D268" s="23" t="s">
        <v>271</v>
      </c>
      <c r="E268" s="24">
        <v>979.42</v>
      </c>
      <c r="F268" s="25">
        <v>60</v>
      </c>
      <c r="G268" s="24">
        <f t="shared" si="8"/>
        <v>16.323666666666664</v>
      </c>
      <c r="H268" s="23" t="s">
        <v>759</v>
      </c>
      <c r="I268" s="23" t="s">
        <v>760</v>
      </c>
      <c r="J268" s="23" t="str">
        <f t="shared" si="9"/>
        <v>OK</v>
      </c>
      <c r="K268" s="23"/>
    </row>
    <row r="269" spans="1:11" x14ac:dyDescent="0.25">
      <c r="A269" s="23" t="s">
        <v>1029</v>
      </c>
      <c r="B269" s="23">
        <v>546</v>
      </c>
      <c r="C269" s="23">
        <v>547</v>
      </c>
      <c r="D269" s="23" t="s">
        <v>272</v>
      </c>
      <c r="E269" s="24">
        <v>11966.58</v>
      </c>
      <c r="F269" s="25">
        <v>5920</v>
      </c>
      <c r="G269" s="24">
        <f t="shared" si="8"/>
        <v>2.0213817567567567</v>
      </c>
      <c r="H269" s="23" t="s">
        <v>759</v>
      </c>
      <c r="I269" s="23" t="s">
        <v>760</v>
      </c>
      <c r="J269" s="23" t="str">
        <f t="shared" si="9"/>
        <v>OK</v>
      </c>
      <c r="K269" s="23"/>
    </row>
    <row r="270" spans="1:11" x14ac:dyDescent="0.25">
      <c r="A270" s="23" t="s">
        <v>1030</v>
      </c>
      <c r="B270" s="23">
        <v>548</v>
      </c>
      <c r="C270" s="23">
        <v>549</v>
      </c>
      <c r="D270" s="23" t="s">
        <v>273</v>
      </c>
      <c r="E270" s="24">
        <v>275.95999999999998</v>
      </c>
      <c r="F270" s="25">
        <v>160</v>
      </c>
      <c r="G270" s="24">
        <f t="shared" si="8"/>
        <v>1.7247499999999998</v>
      </c>
      <c r="H270" s="23" t="s">
        <v>759</v>
      </c>
      <c r="I270" s="23" t="s">
        <v>760</v>
      </c>
      <c r="J270" s="23" t="str">
        <f t="shared" si="9"/>
        <v>OK</v>
      </c>
      <c r="K270" s="23"/>
    </row>
    <row r="271" spans="1:11" x14ac:dyDescent="0.25">
      <c r="A271" s="23" t="s">
        <v>1031</v>
      </c>
      <c r="B271" s="23">
        <v>550</v>
      </c>
      <c r="C271" s="23">
        <v>551</v>
      </c>
      <c r="D271" s="23" t="s">
        <v>274</v>
      </c>
      <c r="E271" s="24">
        <v>4868.6899999999996</v>
      </c>
      <c r="F271" s="25">
        <v>94</v>
      </c>
      <c r="G271" s="24">
        <f t="shared" si="8"/>
        <v>51.794574468085102</v>
      </c>
      <c r="H271" s="23" t="s">
        <v>759</v>
      </c>
      <c r="I271" s="23" t="s">
        <v>760</v>
      </c>
      <c r="J271" s="23" t="str">
        <f t="shared" si="9"/>
        <v>OK</v>
      </c>
      <c r="K271" s="23"/>
    </row>
    <row r="272" spans="1:11" x14ac:dyDescent="0.25">
      <c r="A272" s="23" t="s">
        <v>1032</v>
      </c>
      <c r="B272" s="23">
        <v>552</v>
      </c>
      <c r="C272" s="23">
        <v>553</v>
      </c>
      <c r="D272" s="23" t="s">
        <v>275</v>
      </c>
      <c r="E272" s="24">
        <v>1179.43</v>
      </c>
      <c r="F272" s="25">
        <v>3240</v>
      </c>
      <c r="G272" s="24">
        <f t="shared" si="8"/>
        <v>0.36402160493827163</v>
      </c>
      <c r="H272" s="23" t="s">
        <v>759</v>
      </c>
      <c r="I272" s="23" t="s">
        <v>760</v>
      </c>
      <c r="J272" s="23" t="str">
        <f t="shared" si="9"/>
        <v>OK</v>
      </c>
      <c r="K272" s="23"/>
    </row>
    <row r="273" spans="1:11" x14ac:dyDescent="0.25">
      <c r="A273" s="23" t="s">
        <v>1033</v>
      </c>
      <c r="B273" s="23">
        <v>554</v>
      </c>
      <c r="C273" s="23">
        <v>555</v>
      </c>
      <c r="D273" s="23" t="s">
        <v>276</v>
      </c>
      <c r="E273" s="24">
        <v>192.24</v>
      </c>
      <c r="F273" s="25">
        <v>360</v>
      </c>
      <c r="G273" s="24">
        <f t="shared" si="8"/>
        <v>0.53400000000000003</v>
      </c>
      <c r="H273" s="23" t="s">
        <v>759</v>
      </c>
      <c r="I273" s="23" t="s">
        <v>760</v>
      </c>
      <c r="J273" s="23" t="str">
        <f t="shared" si="9"/>
        <v>OK</v>
      </c>
      <c r="K273" s="23"/>
    </row>
    <row r="274" spans="1:11" x14ac:dyDescent="0.25">
      <c r="A274" s="23" t="s">
        <v>1034</v>
      </c>
      <c r="B274" s="23">
        <v>556</v>
      </c>
      <c r="C274" s="23">
        <v>557</v>
      </c>
      <c r="D274" s="23" t="s">
        <v>277</v>
      </c>
      <c r="E274" s="24">
        <v>24.2</v>
      </c>
      <c r="F274" s="25">
        <v>4</v>
      </c>
      <c r="G274" s="24">
        <f t="shared" si="8"/>
        <v>6.05</v>
      </c>
      <c r="H274" s="23" t="s">
        <v>759</v>
      </c>
      <c r="I274" s="23" t="s">
        <v>760</v>
      </c>
      <c r="J274" s="23" t="str">
        <f t="shared" si="9"/>
        <v>OK</v>
      </c>
      <c r="K274" s="23"/>
    </row>
    <row r="275" spans="1:11" x14ac:dyDescent="0.25">
      <c r="A275" s="23" t="s">
        <v>1035</v>
      </c>
      <c r="B275" s="23">
        <v>558</v>
      </c>
      <c r="C275" s="23">
        <v>559</v>
      </c>
      <c r="D275" s="23" t="s">
        <v>278</v>
      </c>
      <c r="E275" s="24">
        <v>2466.71</v>
      </c>
      <c r="F275" s="25">
        <v>6150</v>
      </c>
      <c r="G275" s="24">
        <f t="shared" si="8"/>
        <v>0.40109105691056912</v>
      </c>
      <c r="H275" s="23" t="s">
        <v>759</v>
      </c>
      <c r="I275" s="23" t="s">
        <v>760</v>
      </c>
      <c r="J275" s="23" t="str">
        <f t="shared" si="9"/>
        <v>OK</v>
      </c>
      <c r="K275" s="23"/>
    </row>
    <row r="276" spans="1:11" ht="26.4" x14ac:dyDescent="0.25">
      <c r="A276" s="23" t="s">
        <v>1036</v>
      </c>
      <c r="B276" s="23">
        <v>560</v>
      </c>
      <c r="C276" s="23">
        <v>561</v>
      </c>
      <c r="D276" s="23" t="s">
        <v>279</v>
      </c>
      <c r="E276" s="24">
        <v>46.65</v>
      </c>
      <c r="F276" s="25"/>
      <c r="G276" s="24" t="str">
        <f t="shared" si="8"/>
        <v/>
      </c>
      <c r="H276" s="23" t="s">
        <v>759</v>
      </c>
      <c r="I276" s="23" t="s">
        <v>760</v>
      </c>
      <c r="J276" s="23" t="str">
        <f t="shared" si="9"/>
        <v>LIPSESC DATE</v>
      </c>
      <c r="K276" s="23"/>
    </row>
    <row r="277" spans="1:11" x14ac:dyDescent="0.25">
      <c r="A277" s="23" t="s">
        <v>1037</v>
      </c>
      <c r="B277" s="23">
        <v>562</v>
      </c>
      <c r="C277" s="23">
        <v>563</v>
      </c>
      <c r="D277" s="23" t="s">
        <v>280</v>
      </c>
      <c r="E277" s="24">
        <v>3145.8</v>
      </c>
      <c r="F277" s="25">
        <v>540</v>
      </c>
      <c r="G277" s="24">
        <f t="shared" si="8"/>
        <v>5.8255555555555558</v>
      </c>
      <c r="H277" s="23" t="s">
        <v>759</v>
      </c>
      <c r="I277" s="23" t="s">
        <v>760</v>
      </c>
      <c r="J277" s="23" t="str">
        <f t="shared" si="9"/>
        <v>OK</v>
      </c>
      <c r="K277" s="23"/>
    </row>
    <row r="278" spans="1:11" x14ac:dyDescent="0.25">
      <c r="A278" s="23" t="s">
        <v>1038</v>
      </c>
      <c r="B278" s="23">
        <v>564</v>
      </c>
      <c r="C278" s="23">
        <v>565</v>
      </c>
      <c r="D278" s="23" t="s">
        <v>281</v>
      </c>
      <c r="E278" s="24">
        <v>177.87</v>
      </c>
      <c r="F278" s="25">
        <v>160</v>
      </c>
      <c r="G278" s="24">
        <f t="shared" si="8"/>
        <v>1.1116874999999999</v>
      </c>
      <c r="H278" s="23" t="s">
        <v>759</v>
      </c>
      <c r="I278" s="23" t="s">
        <v>760</v>
      </c>
      <c r="J278" s="23" t="str">
        <f t="shared" si="9"/>
        <v>OK</v>
      </c>
      <c r="K278" s="23"/>
    </row>
    <row r="279" spans="1:11" x14ac:dyDescent="0.25">
      <c r="A279" s="23" t="s">
        <v>1039</v>
      </c>
      <c r="B279" s="23">
        <v>566</v>
      </c>
      <c r="C279" s="23">
        <v>567</v>
      </c>
      <c r="D279" s="23" t="s">
        <v>282</v>
      </c>
      <c r="E279" s="24">
        <v>1354.93</v>
      </c>
      <c r="F279" s="25">
        <v>1590</v>
      </c>
      <c r="G279" s="24">
        <f t="shared" si="8"/>
        <v>0.85215723270440258</v>
      </c>
      <c r="H279" s="23" t="s">
        <v>759</v>
      </c>
      <c r="I279" s="23" t="s">
        <v>760</v>
      </c>
      <c r="J279" s="23" t="str">
        <f t="shared" si="9"/>
        <v>OK</v>
      </c>
      <c r="K279" s="23"/>
    </row>
    <row r="280" spans="1:11" x14ac:dyDescent="0.25">
      <c r="A280" s="23" t="s">
        <v>1040</v>
      </c>
      <c r="B280" s="23">
        <v>568</v>
      </c>
      <c r="C280" s="23">
        <v>569</v>
      </c>
      <c r="D280" s="23" t="s">
        <v>283</v>
      </c>
      <c r="E280" s="24">
        <v>1371.63</v>
      </c>
      <c r="F280" s="25">
        <v>55</v>
      </c>
      <c r="G280" s="24">
        <f t="shared" si="8"/>
        <v>24.938727272727274</v>
      </c>
      <c r="H280" s="23" t="s">
        <v>759</v>
      </c>
      <c r="I280" s="23" t="s">
        <v>760</v>
      </c>
      <c r="J280" s="23" t="str">
        <f t="shared" si="9"/>
        <v>OK</v>
      </c>
      <c r="K280" s="23"/>
    </row>
    <row r="281" spans="1:11" x14ac:dyDescent="0.25">
      <c r="A281" s="23" t="s">
        <v>1041</v>
      </c>
      <c r="B281" s="23">
        <v>570</v>
      </c>
      <c r="C281" s="23">
        <v>571</v>
      </c>
      <c r="D281" s="23" t="s">
        <v>284</v>
      </c>
      <c r="E281" s="24">
        <v>1555.06</v>
      </c>
      <c r="F281" s="25">
        <v>992</v>
      </c>
      <c r="G281" s="24">
        <f t="shared" si="8"/>
        <v>1.5676008064516129</v>
      </c>
      <c r="H281" s="23" t="s">
        <v>759</v>
      </c>
      <c r="I281" s="23" t="s">
        <v>760</v>
      </c>
      <c r="J281" s="23" t="str">
        <f t="shared" si="9"/>
        <v>OK</v>
      </c>
      <c r="K281" s="23"/>
    </row>
    <row r="282" spans="1:11" x14ac:dyDescent="0.25">
      <c r="A282" s="23" t="s">
        <v>1042</v>
      </c>
      <c r="B282" s="23">
        <v>572</v>
      </c>
      <c r="C282" s="23">
        <v>573</v>
      </c>
      <c r="D282" s="23" t="s">
        <v>285</v>
      </c>
      <c r="E282" s="24">
        <v>310.42</v>
      </c>
      <c r="F282" s="25">
        <v>30</v>
      </c>
      <c r="G282" s="24">
        <f t="shared" si="8"/>
        <v>10.347333333333333</v>
      </c>
      <c r="H282" s="23" t="s">
        <v>759</v>
      </c>
      <c r="I282" s="23" t="s">
        <v>760</v>
      </c>
      <c r="J282" s="23" t="str">
        <f t="shared" si="9"/>
        <v>OK</v>
      </c>
      <c r="K282" s="23"/>
    </row>
    <row r="283" spans="1:11" x14ac:dyDescent="0.25">
      <c r="A283" s="23" t="s">
        <v>1043</v>
      </c>
      <c r="B283" s="23">
        <v>574</v>
      </c>
      <c r="C283" s="23">
        <v>575</v>
      </c>
      <c r="D283" s="23" t="s">
        <v>286</v>
      </c>
      <c r="E283" s="24">
        <v>2151.4699999999998</v>
      </c>
      <c r="F283" s="25">
        <v>50</v>
      </c>
      <c r="G283" s="24">
        <f t="shared" si="8"/>
        <v>43.029399999999995</v>
      </c>
      <c r="H283" s="23" t="s">
        <v>759</v>
      </c>
      <c r="I283" s="23" t="s">
        <v>760</v>
      </c>
      <c r="J283" s="23" t="str">
        <f t="shared" si="9"/>
        <v>OK</v>
      </c>
      <c r="K283" s="23"/>
    </row>
    <row r="284" spans="1:11" x14ac:dyDescent="0.25">
      <c r="A284" s="23" t="s">
        <v>1044</v>
      </c>
      <c r="B284" s="23">
        <v>576</v>
      </c>
      <c r="C284" s="23">
        <v>577</v>
      </c>
      <c r="D284" s="23" t="s">
        <v>287</v>
      </c>
      <c r="E284" s="24">
        <v>1240.27</v>
      </c>
      <c r="F284" s="25">
        <v>10</v>
      </c>
      <c r="G284" s="24">
        <f t="shared" si="8"/>
        <v>124.027</v>
      </c>
      <c r="H284" s="23" t="s">
        <v>759</v>
      </c>
      <c r="I284" s="23" t="s">
        <v>760</v>
      </c>
      <c r="J284" s="23" t="str">
        <f t="shared" si="9"/>
        <v>OK</v>
      </c>
      <c r="K284" s="23"/>
    </row>
    <row r="285" spans="1:11" x14ac:dyDescent="0.25">
      <c r="A285" s="23" t="s">
        <v>1045</v>
      </c>
      <c r="B285" s="23">
        <v>578</v>
      </c>
      <c r="C285" s="23">
        <v>579</v>
      </c>
      <c r="D285" s="23" t="s">
        <v>288</v>
      </c>
      <c r="E285" s="24">
        <v>680.4</v>
      </c>
      <c r="F285" s="25">
        <v>10</v>
      </c>
      <c r="G285" s="24">
        <f t="shared" si="8"/>
        <v>68.039999999999992</v>
      </c>
      <c r="H285" s="23" t="s">
        <v>759</v>
      </c>
      <c r="I285" s="23" t="s">
        <v>760</v>
      </c>
      <c r="J285" s="23" t="str">
        <f t="shared" si="9"/>
        <v>OK</v>
      </c>
      <c r="K285" s="23"/>
    </row>
    <row r="286" spans="1:11" x14ac:dyDescent="0.25">
      <c r="A286" s="23" t="s">
        <v>1046</v>
      </c>
      <c r="B286" s="23">
        <v>580</v>
      </c>
      <c r="C286" s="23">
        <v>581</v>
      </c>
      <c r="D286" s="23" t="s">
        <v>289</v>
      </c>
      <c r="E286" s="24">
        <v>572.94000000000005</v>
      </c>
      <c r="F286" s="25">
        <v>450</v>
      </c>
      <c r="G286" s="24">
        <f t="shared" si="8"/>
        <v>1.2732000000000001</v>
      </c>
      <c r="H286" s="23" t="s">
        <v>759</v>
      </c>
      <c r="I286" s="23" t="s">
        <v>760</v>
      </c>
      <c r="J286" s="23" t="str">
        <f t="shared" si="9"/>
        <v>OK</v>
      </c>
      <c r="K286" s="23"/>
    </row>
    <row r="287" spans="1:11" x14ac:dyDescent="0.25">
      <c r="A287" s="23" t="s">
        <v>1047</v>
      </c>
      <c r="B287" s="23">
        <v>582</v>
      </c>
      <c r="C287" s="23">
        <v>583</v>
      </c>
      <c r="D287" s="23" t="s">
        <v>290</v>
      </c>
      <c r="E287" s="24">
        <v>2727.98</v>
      </c>
      <c r="F287" s="25">
        <v>1000</v>
      </c>
      <c r="G287" s="24">
        <f t="shared" si="8"/>
        <v>2.7279800000000001</v>
      </c>
      <c r="H287" s="23" t="s">
        <v>759</v>
      </c>
      <c r="I287" s="23" t="s">
        <v>760</v>
      </c>
      <c r="J287" s="23" t="str">
        <f t="shared" si="9"/>
        <v>OK</v>
      </c>
      <c r="K287" s="23"/>
    </row>
    <row r="288" spans="1:11" x14ac:dyDescent="0.25">
      <c r="A288" s="23" t="s">
        <v>1048</v>
      </c>
      <c r="B288" s="23">
        <v>584</v>
      </c>
      <c r="C288" s="23">
        <v>585</v>
      </c>
      <c r="D288" s="23" t="s">
        <v>291</v>
      </c>
      <c r="E288" s="24">
        <v>3943.1</v>
      </c>
      <c r="F288" s="25">
        <v>2774</v>
      </c>
      <c r="G288" s="24">
        <f t="shared" si="8"/>
        <v>1.4214491708723864</v>
      </c>
      <c r="H288" s="23" t="s">
        <v>759</v>
      </c>
      <c r="I288" s="23" t="s">
        <v>760</v>
      </c>
      <c r="J288" s="23" t="str">
        <f t="shared" si="9"/>
        <v>OK</v>
      </c>
      <c r="K288" s="23"/>
    </row>
    <row r="289" spans="1:11" x14ac:dyDescent="0.25">
      <c r="A289" s="23" t="s">
        <v>1049</v>
      </c>
      <c r="B289" s="23">
        <v>586</v>
      </c>
      <c r="C289" s="23">
        <v>587</v>
      </c>
      <c r="D289" s="23" t="s">
        <v>292</v>
      </c>
      <c r="E289" s="24">
        <v>8115.56</v>
      </c>
      <c r="F289" s="25">
        <v>149</v>
      </c>
      <c r="G289" s="24">
        <f t="shared" si="8"/>
        <v>54.466845637583894</v>
      </c>
      <c r="H289" s="23" t="s">
        <v>759</v>
      </c>
      <c r="I289" s="23" t="s">
        <v>760</v>
      </c>
      <c r="J289" s="23" t="str">
        <f t="shared" si="9"/>
        <v>OK</v>
      </c>
      <c r="K289" s="23"/>
    </row>
    <row r="290" spans="1:11" x14ac:dyDescent="0.25">
      <c r="A290" s="23" t="s">
        <v>1050</v>
      </c>
      <c r="B290" s="23">
        <v>588</v>
      </c>
      <c r="C290" s="23">
        <v>589</v>
      </c>
      <c r="D290" s="23" t="s">
        <v>293</v>
      </c>
      <c r="E290" s="24">
        <v>4730</v>
      </c>
      <c r="F290" s="25">
        <v>220</v>
      </c>
      <c r="G290" s="24">
        <f t="shared" si="8"/>
        <v>21.5</v>
      </c>
      <c r="H290" s="23" t="s">
        <v>759</v>
      </c>
      <c r="I290" s="23" t="s">
        <v>760</v>
      </c>
      <c r="J290" s="23" t="str">
        <f t="shared" si="9"/>
        <v>OK</v>
      </c>
      <c r="K290" s="23"/>
    </row>
    <row r="291" spans="1:11" x14ac:dyDescent="0.25">
      <c r="A291" s="23" t="s">
        <v>1051</v>
      </c>
      <c r="B291" s="23">
        <v>590</v>
      </c>
      <c r="C291" s="23">
        <v>591</v>
      </c>
      <c r="D291" s="23" t="s">
        <v>294</v>
      </c>
      <c r="E291" s="24">
        <v>357.2</v>
      </c>
      <c r="F291" s="25">
        <v>940</v>
      </c>
      <c r="G291" s="24">
        <f t="shared" si="8"/>
        <v>0.38</v>
      </c>
      <c r="H291" s="23" t="s">
        <v>759</v>
      </c>
      <c r="I291" s="23" t="s">
        <v>760</v>
      </c>
      <c r="J291" s="23" t="str">
        <f t="shared" si="9"/>
        <v>OK</v>
      </c>
      <c r="K291" s="23"/>
    </row>
    <row r="292" spans="1:11" x14ac:dyDescent="0.25">
      <c r="A292" s="23" t="s">
        <v>1052</v>
      </c>
      <c r="B292" s="23">
        <v>592</v>
      </c>
      <c r="C292" s="23">
        <v>593</v>
      </c>
      <c r="D292" s="23" t="s">
        <v>295</v>
      </c>
      <c r="E292" s="24">
        <v>172.8</v>
      </c>
      <c r="F292" s="25">
        <v>320</v>
      </c>
      <c r="G292" s="24">
        <f t="shared" si="8"/>
        <v>0.54</v>
      </c>
      <c r="H292" s="23" t="s">
        <v>759</v>
      </c>
      <c r="I292" s="23" t="s">
        <v>760</v>
      </c>
      <c r="J292" s="23" t="str">
        <f t="shared" si="9"/>
        <v>OK</v>
      </c>
      <c r="K292" s="23"/>
    </row>
    <row r="293" spans="1:11" x14ac:dyDescent="0.25">
      <c r="A293" s="23" t="s">
        <v>1053</v>
      </c>
      <c r="B293" s="23">
        <v>594</v>
      </c>
      <c r="C293" s="23">
        <v>595</v>
      </c>
      <c r="D293" s="23" t="s">
        <v>296</v>
      </c>
      <c r="E293" s="24">
        <v>214.81</v>
      </c>
      <c r="F293" s="25">
        <v>390</v>
      </c>
      <c r="G293" s="24">
        <f t="shared" si="8"/>
        <v>0.55079487179487185</v>
      </c>
      <c r="H293" s="23" t="s">
        <v>759</v>
      </c>
      <c r="I293" s="23" t="s">
        <v>760</v>
      </c>
      <c r="J293" s="23" t="str">
        <f t="shared" si="9"/>
        <v>OK</v>
      </c>
      <c r="K293" s="23"/>
    </row>
    <row r="294" spans="1:11" x14ac:dyDescent="0.25">
      <c r="A294" s="23" t="s">
        <v>1054</v>
      </c>
      <c r="B294" s="23">
        <v>596</v>
      </c>
      <c r="C294" s="23">
        <v>597</v>
      </c>
      <c r="D294" s="23" t="s">
        <v>297</v>
      </c>
      <c r="E294" s="24">
        <v>331.18</v>
      </c>
      <c r="F294" s="25">
        <v>720</v>
      </c>
      <c r="G294" s="24">
        <f t="shared" si="8"/>
        <v>0.45997222222222223</v>
      </c>
      <c r="H294" s="23" t="s">
        <v>759</v>
      </c>
      <c r="I294" s="23" t="s">
        <v>760</v>
      </c>
      <c r="J294" s="23" t="str">
        <f t="shared" si="9"/>
        <v>OK</v>
      </c>
      <c r="K294" s="23"/>
    </row>
    <row r="295" spans="1:11" x14ac:dyDescent="0.25">
      <c r="A295" s="23" t="s">
        <v>1055</v>
      </c>
      <c r="B295" s="23">
        <v>598</v>
      </c>
      <c r="C295" s="23">
        <v>599</v>
      </c>
      <c r="D295" s="23" t="s">
        <v>298</v>
      </c>
      <c r="E295" s="24">
        <v>65.98</v>
      </c>
      <c r="F295" s="25">
        <v>10</v>
      </c>
      <c r="G295" s="24">
        <f t="shared" si="8"/>
        <v>6.5980000000000008</v>
      </c>
      <c r="H295" s="23" t="s">
        <v>759</v>
      </c>
      <c r="I295" s="23" t="s">
        <v>760</v>
      </c>
      <c r="J295" s="23" t="str">
        <f t="shared" si="9"/>
        <v>OK</v>
      </c>
      <c r="K295" s="23"/>
    </row>
    <row r="296" spans="1:11" x14ac:dyDescent="0.25">
      <c r="A296" s="23" t="s">
        <v>1056</v>
      </c>
      <c r="B296" s="23">
        <v>600</v>
      </c>
      <c r="C296" s="23">
        <v>601</v>
      </c>
      <c r="D296" s="23" t="s">
        <v>299</v>
      </c>
      <c r="E296" s="24">
        <v>3601.99</v>
      </c>
      <c r="F296" s="25">
        <v>1095</v>
      </c>
      <c r="G296" s="24">
        <f t="shared" si="8"/>
        <v>3.2894885844748858</v>
      </c>
      <c r="H296" s="23" t="s">
        <v>759</v>
      </c>
      <c r="I296" s="23" t="s">
        <v>760</v>
      </c>
      <c r="J296" s="23" t="str">
        <f t="shared" si="9"/>
        <v>OK</v>
      </c>
      <c r="K296" s="23"/>
    </row>
    <row r="297" spans="1:11" x14ac:dyDescent="0.25">
      <c r="A297" s="23" t="s">
        <v>1057</v>
      </c>
      <c r="B297" s="23">
        <v>602</v>
      </c>
      <c r="C297" s="23">
        <v>603</v>
      </c>
      <c r="D297" s="23" t="s">
        <v>300</v>
      </c>
      <c r="E297" s="24">
        <v>2086.39</v>
      </c>
      <c r="F297" s="25">
        <v>380</v>
      </c>
      <c r="G297" s="24">
        <f t="shared" si="8"/>
        <v>5.4904999999999999</v>
      </c>
      <c r="H297" s="23" t="s">
        <v>759</v>
      </c>
      <c r="I297" s="23" t="s">
        <v>760</v>
      </c>
      <c r="J297" s="23" t="str">
        <f t="shared" si="9"/>
        <v>OK</v>
      </c>
      <c r="K297" s="23"/>
    </row>
    <row r="298" spans="1:11" x14ac:dyDescent="0.25">
      <c r="A298" s="23" t="s">
        <v>1058</v>
      </c>
      <c r="B298" s="23">
        <v>604</v>
      </c>
      <c r="C298" s="23">
        <v>605</v>
      </c>
      <c r="D298" s="23" t="s">
        <v>301</v>
      </c>
      <c r="E298" s="24">
        <v>2322.4699999999998</v>
      </c>
      <c r="F298" s="25">
        <v>641</v>
      </c>
      <c r="G298" s="24">
        <f t="shared" si="8"/>
        <v>3.6231981279251166</v>
      </c>
      <c r="H298" s="23" t="s">
        <v>759</v>
      </c>
      <c r="I298" s="23" t="s">
        <v>760</v>
      </c>
      <c r="J298" s="23" t="str">
        <f t="shared" si="9"/>
        <v>OK</v>
      </c>
      <c r="K298" s="23"/>
    </row>
    <row r="299" spans="1:11" x14ac:dyDescent="0.25">
      <c r="A299" s="23" t="s">
        <v>1059</v>
      </c>
      <c r="B299" s="23">
        <v>606</v>
      </c>
      <c r="C299" s="23">
        <v>607</v>
      </c>
      <c r="D299" s="23" t="s">
        <v>302</v>
      </c>
      <c r="E299" s="24">
        <v>8634.4599999999991</v>
      </c>
      <c r="F299" s="25">
        <v>3344</v>
      </c>
      <c r="G299" s="24">
        <f t="shared" si="8"/>
        <v>2.5820753588516743</v>
      </c>
      <c r="H299" s="23" t="s">
        <v>759</v>
      </c>
      <c r="I299" s="23" t="s">
        <v>760</v>
      </c>
      <c r="J299" s="23" t="str">
        <f t="shared" si="9"/>
        <v>OK</v>
      </c>
      <c r="K299" s="23"/>
    </row>
    <row r="300" spans="1:11" x14ac:dyDescent="0.25">
      <c r="A300" s="23" t="s">
        <v>1060</v>
      </c>
      <c r="B300" s="23">
        <v>608</v>
      </c>
      <c r="C300" s="23">
        <v>609</v>
      </c>
      <c r="D300" s="23" t="s">
        <v>303</v>
      </c>
      <c r="E300" s="24">
        <v>20635.14</v>
      </c>
      <c r="F300" s="25">
        <v>4287</v>
      </c>
      <c r="G300" s="24">
        <f t="shared" si="8"/>
        <v>4.8134219734079773</v>
      </c>
      <c r="H300" s="23" t="s">
        <v>759</v>
      </c>
      <c r="I300" s="23" t="s">
        <v>760</v>
      </c>
      <c r="J300" s="23" t="str">
        <f t="shared" si="9"/>
        <v>OK</v>
      </c>
      <c r="K300" s="23"/>
    </row>
    <row r="301" spans="1:11" x14ac:dyDescent="0.25">
      <c r="A301" s="23" t="s">
        <v>1061</v>
      </c>
      <c r="B301" s="23">
        <v>610</v>
      </c>
      <c r="C301" s="23">
        <v>611</v>
      </c>
      <c r="D301" s="23" t="s">
        <v>304</v>
      </c>
      <c r="E301" s="24">
        <v>261.43</v>
      </c>
      <c r="F301" s="25">
        <v>650</v>
      </c>
      <c r="G301" s="24">
        <f t="shared" si="8"/>
        <v>0.4022</v>
      </c>
      <c r="H301" s="23" t="s">
        <v>759</v>
      </c>
      <c r="I301" s="23" t="s">
        <v>760</v>
      </c>
      <c r="J301" s="23" t="str">
        <f t="shared" si="9"/>
        <v>OK</v>
      </c>
      <c r="K301" s="23"/>
    </row>
    <row r="302" spans="1:11" x14ac:dyDescent="0.25">
      <c r="A302" s="23" t="s">
        <v>1062</v>
      </c>
      <c r="B302" s="23">
        <v>612</v>
      </c>
      <c r="C302" s="23">
        <v>613</v>
      </c>
      <c r="D302" s="23" t="s">
        <v>305</v>
      </c>
      <c r="E302" s="24">
        <v>72.14</v>
      </c>
      <c r="F302" s="25">
        <v>200</v>
      </c>
      <c r="G302" s="24">
        <f t="shared" si="8"/>
        <v>0.36070000000000002</v>
      </c>
      <c r="H302" s="23" t="s">
        <v>759</v>
      </c>
      <c r="I302" s="23" t="s">
        <v>760</v>
      </c>
      <c r="J302" s="23" t="str">
        <f t="shared" si="9"/>
        <v>OK</v>
      </c>
      <c r="K302" s="23"/>
    </row>
    <row r="303" spans="1:11" x14ac:dyDescent="0.25">
      <c r="A303" s="23" t="s">
        <v>1063</v>
      </c>
      <c r="B303" s="23">
        <v>614</v>
      </c>
      <c r="C303" s="23">
        <v>615</v>
      </c>
      <c r="D303" s="23" t="s">
        <v>306</v>
      </c>
      <c r="E303" s="24">
        <v>611.28</v>
      </c>
      <c r="F303" s="25">
        <v>200</v>
      </c>
      <c r="G303" s="24">
        <f t="shared" si="8"/>
        <v>3.0564</v>
      </c>
      <c r="H303" s="23" t="s">
        <v>759</v>
      </c>
      <c r="I303" s="23" t="s">
        <v>760</v>
      </c>
      <c r="J303" s="23" t="str">
        <f t="shared" si="9"/>
        <v>OK</v>
      </c>
      <c r="K303" s="23"/>
    </row>
    <row r="304" spans="1:11" x14ac:dyDescent="0.25">
      <c r="A304" s="23" t="s">
        <v>1064</v>
      </c>
      <c r="B304" s="23">
        <v>616</v>
      </c>
      <c r="C304" s="23">
        <v>617</v>
      </c>
      <c r="D304" s="23" t="s">
        <v>307</v>
      </c>
      <c r="E304" s="24">
        <v>203.44</v>
      </c>
      <c r="F304" s="25">
        <v>10</v>
      </c>
      <c r="G304" s="24">
        <f t="shared" si="8"/>
        <v>20.344000000000001</v>
      </c>
      <c r="H304" s="23" t="s">
        <v>759</v>
      </c>
      <c r="I304" s="23" t="s">
        <v>760</v>
      </c>
      <c r="J304" s="23" t="str">
        <f t="shared" si="9"/>
        <v>OK</v>
      </c>
      <c r="K304" s="23"/>
    </row>
    <row r="305" spans="1:11" x14ac:dyDescent="0.25">
      <c r="A305" s="23" t="s">
        <v>1065</v>
      </c>
      <c r="B305" s="23">
        <v>618</v>
      </c>
      <c r="C305" s="23">
        <v>619</v>
      </c>
      <c r="D305" s="23" t="s">
        <v>308</v>
      </c>
      <c r="E305" s="24">
        <v>101.72</v>
      </c>
      <c r="F305" s="25">
        <v>5</v>
      </c>
      <c r="G305" s="24">
        <f t="shared" si="8"/>
        <v>20.344000000000001</v>
      </c>
      <c r="H305" s="23" t="s">
        <v>759</v>
      </c>
      <c r="I305" s="23" t="s">
        <v>760</v>
      </c>
      <c r="J305" s="23" t="str">
        <f t="shared" si="9"/>
        <v>OK</v>
      </c>
      <c r="K305" s="23"/>
    </row>
    <row r="306" spans="1:11" x14ac:dyDescent="0.25">
      <c r="A306" s="23" t="s">
        <v>1066</v>
      </c>
      <c r="B306" s="23">
        <v>620</v>
      </c>
      <c r="C306" s="23">
        <v>621</v>
      </c>
      <c r="D306" s="23" t="s">
        <v>309</v>
      </c>
      <c r="E306" s="24">
        <v>73063.58</v>
      </c>
      <c r="F306" s="25">
        <v>5030</v>
      </c>
      <c r="G306" s="24">
        <f t="shared" si="8"/>
        <v>14.525562624254473</v>
      </c>
      <c r="H306" s="23" t="s">
        <v>759</v>
      </c>
      <c r="I306" s="23" t="s">
        <v>760</v>
      </c>
      <c r="J306" s="23" t="str">
        <f t="shared" si="9"/>
        <v>OK</v>
      </c>
      <c r="K306" s="23"/>
    </row>
    <row r="307" spans="1:11" x14ac:dyDescent="0.25">
      <c r="A307" s="23" t="s">
        <v>1067</v>
      </c>
      <c r="B307" s="23">
        <v>622</v>
      </c>
      <c r="C307" s="23">
        <v>623</v>
      </c>
      <c r="D307" s="23" t="s">
        <v>310</v>
      </c>
      <c r="E307" s="24">
        <v>2051.46</v>
      </c>
      <c r="F307" s="25">
        <v>140</v>
      </c>
      <c r="G307" s="24">
        <f t="shared" si="8"/>
        <v>14.653285714285715</v>
      </c>
      <c r="H307" s="23" t="s">
        <v>759</v>
      </c>
      <c r="I307" s="23" t="s">
        <v>760</v>
      </c>
      <c r="J307" s="23" t="str">
        <f t="shared" si="9"/>
        <v>OK</v>
      </c>
      <c r="K307" s="23"/>
    </row>
    <row r="308" spans="1:11" x14ac:dyDescent="0.25">
      <c r="A308" s="23" t="s">
        <v>1068</v>
      </c>
      <c r="B308" s="23">
        <v>624</v>
      </c>
      <c r="C308" s="23">
        <v>625</v>
      </c>
      <c r="D308" s="23" t="s">
        <v>311</v>
      </c>
      <c r="E308" s="24">
        <v>49.94</v>
      </c>
      <c r="F308" s="25">
        <v>6</v>
      </c>
      <c r="G308" s="24">
        <f t="shared" si="8"/>
        <v>8.3233333333333324</v>
      </c>
      <c r="H308" s="23" t="s">
        <v>759</v>
      </c>
      <c r="I308" s="23" t="s">
        <v>760</v>
      </c>
      <c r="J308" s="23" t="str">
        <f t="shared" si="9"/>
        <v>OK</v>
      </c>
      <c r="K308" s="23"/>
    </row>
    <row r="309" spans="1:11" x14ac:dyDescent="0.25">
      <c r="A309" s="23" t="s">
        <v>1069</v>
      </c>
      <c r="B309" s="23">
        <v>626</v>
      </c>
      <c r="C309" s="23">
        <v>627</v>
      </c>
      <c r="D309" s="23" t="s">
        <v>312</v>
      </c>
      <c r="E309" s="24">
        <v>630</v>
      </c>
      <c r="F309" s="25">
        <v>35</v>
      </c>
      <c r="G309" s="24">
        <f t="shared" si="8"/>
        <v>18</v>
      </c>
      <c r="H309" s="23" t="s">
        <v>759</v>
      </c>
      <c r="I309" s="23" t="s">
        <v>760</v>
      </c>
      <c r="J309" s="23" t="str">
        <f t="shared" si="9"/>
        <v>OK</v>
      </c>
      <c r="K309" s="23"/>
    </row>
    <row r="310" spans="1:11" x14ac:dyDescent="0.25">
      <c r="A310" s="23" t="s">
        <v>1070</v>
      </c>
      <c r="B310" s="23">
        <v>628</v>
      </c>
      <c r="C310" s="23">
        <v>629</v>
      </c>
      <c r="D310" s="23" t="s">
        <v>313</v>
      </c>
      <c r="E310" s="24">
        <v>2123.86</v>
      </c>
      <c r="F310" s="25">
        <v>15</v>
      </c>
      <c r="G310" s="24">
        <f t="shared" si="8"/>
        <v>141.59066666666666</v>
      </c>
      <c r="H310" s="23" t="s">
        <v>759</v>
      </c>
      <c r="I310" s="23" t="s">
        <v>760</v>
      </c>
      <c r="J310" s="23" t="str">
        <f t="shared" si="9"/>
        <v>OK</v>
      </c>
      <c r="K310" s="23"/>
    </row>
    <row r="311" spans="1:11" x14ac:dyDescent="0.25">
      <c r="A311" s="23" t="s">
        <v>1071</v>
      </c>
      <c r="B311" s="23">
        <v>630</v>
      </c>
      <c r="C311" s="23">
        <v>631</v>
      </c>
      <c r="D311" s="23" t="s">
        <v>314</v>
      </c>
      <c r="E311" s="24">
        <v>427.68</v>
      </c>
      <c r="F311" s="25">
        <v>30</v>
      </c>
      <c r="G311" s="24">
        <f t="shared" si="8"/>
        <v>14.256</v>
      </c>
      <c r="H311" s="23" t="s">
        <v>759</v>
      </c>
      <c r="I311" s="23" t="s">
        <v>760</v>
      </c>
      <c r="J311" s="23" t="str">
        <f t="shared" si="9"/>
        <v>OK</v>
      </c>
      <c r="K311" s="23"/>
    </row>
    <row r="312" spans="1:11" ht="26.4" x14ac:dyDescent="0.25">
      <c r="A312" s="23" t="s">
        <v>1072</v>
      </c>
      <c r="B312" s="23">
        <v>632</v>
      </c>
      <c r="C312" s="23">
        <v>633</v>
      </c>
      <c r="D312" s="23" t="s">
        <v>315</v>
      </c>
      <c r="E312" s="24">
        <v>51.84</v>
      </c>
      <c r="F312" s="25">
        <v>1</v>
      </c>
      <c r="G312" s="24">
        <f t="shared" si="8"/>
        <v>51.84</v>
      </c>
      <c r="H312" s="23" t="s">
        <v>759</v>
      </c>
      <c r="I312" s="23" t="s">
        <v>760</v>
      </c>
      <c r="J312" s="23" t="str">
        <f t="shared" si="9"/>
        <v>OK</v>
      </c>
      <c r="K312" s="23"/>
    </row>
    <row r="313" spans="1:11" x14ac:dyDescent="0.25">
      <c r="A313" s="23" t="s">
        <v>1073</v>
      </c>
      <c r="B313" s="23">
        <v>634</v>
      </c>
      <c r="C313" s="23">
        <v>635</v>
      </c>
      <c r="D313" s="23" t="s">
        <v>316</v>
      </c>
      <c r="E313" s="24">
        <v>5760.72</v>
      </c>
      <c r="F313" s="25">
        <v>2700</v>
      </c>
      <c r="G313" s="24">
        <f t="shared" si="8"/>
        <v>2.1335999999999999</v>
      </c>
      <c r="H313" s="23" t="s">
        <v>759</v>
      </c>
      <c r="I313" s="23" t="s">
        <v>760</v>
      </c>
      <c r="J313" s="23" t="str">
        <f t="shared" si="9"/>
        <v>OK</v>
      </c>
      <c r="K313" s="23"/>
    </row>
    <row r="314" spans="1:11" x14ac:dyDescent="0.25">
      <c r="A314" s="23" t="s">
        <v>1074</v>
      </c>
      <c r="B314" s="23">
        <v>636</v>
      </c>
      <c r="C314" s="23">
        <v>637</v>
      </c>
      <c r="D314" s="23" t="s">
        <v>317</v>
      </c>
      <c r="E314" s="24">
        <v>755.94</v>
      </c>
      <c r="F314" s="25">
        <v>660</v>
      </c>
      <c r="G314" s="24">
        <f t="shared" si="8"/>
        <v>1.1453636363636364</v>
      </c>
      <c r="H314" s="23" t="s">
        <v>759</v>
      </c>
      <c r="I314" s="23" t="s">
        <v>760</v>
      </c>
      <c r="J314" s="23" t="str">
        <f t="shared" si="9"/>
        <v>OK</v>
      </c>
      <c r="K314" s="23"/>
    </row>
    <row r="315" spans="1:11" x14ac:dyDescent="0.25">
      <c r="A315" s="23" t="s">
        <v>1075</v>
      </c>
      <c r="B315" s="23">
        <v>638</v>
      </c>
      <c r="C315" s="23">
        <v>639</v>
      </c>
      <c r="D315" s="23" t="s">
        <v>318</v>
      </c>
      <c r="E315" s="24">
        <v>169.02</v>
      </c>
      <c r="F315" s="25">
        <v>80</v>
      </c>
      <c r="G315" s="24">
        <f t="shared" si="8"/>
        <v>2.1127500000000001</v>
      </c>
      <c r="H315" s="23" t="s">
        <v>759</v>
      </c>
      <c r="I315" s="23" t="s">
        <v>760</v>
      </c>
      <c r="J315" s="23" t="str">
        <f t="shared" si="9"/>
        <v>OK</v>
      </c>
      <c r="K315" s="23"/>
    </row>
    <row r="316" spans="1:11" x14ac:dyDescent="0.25">
      <c r="A316" s="23" t="s">
        <v>1076</v>
      </c>
      <c r="B316" s="23">
        <v>640</v>
      </c>
      <c r="C316" s="23">
        <v>641</v>
      </c>
      <c r="D316" s="23" t="s">
        <v>319</v>
      </c>
      <c r="E316" s="24">
        <v>522.52</v>
      </c>
      <c r="F316" s="25">
        <v>27</v>
      </c>
      <c r="G316" s="24">
        <f t="shared" si="8"/>
        <v>19.352592592592593</v>
      </c>
      <c r="H316" s="23" t="s">
        <v>759</v>
      </c>
      <c r="I316" s="23" t="s">
        <v>760</v>
      </c>
      <c r="J316" s="23" t="str">
        <f t="shared" si="9"/>
        <v>OK</v>
      </c>
      <c r="K316" s="23"/>
    </row>
    <row r="317" spans="1:11" x14ac:dyDescent="0.25">
      <c r="A317" s="23" t="s">
        <v>1077</v>
      </c>
      <c r="B317" s="23">
        <v>642</v>
      </c>
      <c r="C317" s="23">
        <v>643</v>
      </c>
      <c r="D317" s="23" t="s">
        <v>320</v>
      </c>
      <c r="E317" s="24">
        <v>115.42</v>
      </c>
      <c r="F317" s="25">
        <v>4</v>
      </c>
      <c r="G317" s="24">
        <f t="shared" si="8"/>
        <v>28.855</v>
      </c>
      <c r="H317" s="23" t="s">
        <v>759</v>
      </c>
      <c r="I317" s="23" t="s">
        <v>760</v>
      </c>
      <c r="J317" s="23" t="str">
        <f t="shared" si="9"/>
        <v>OK</v>
      </c>
      <c r="K317" s="23"/>
    </row>
    <row r="318" spans="1:11" x14ac:dyDescent="0.25">
      <c r="A318" s="23" t="s">
        <v>1078</v>
      </c>
      <c r="B318" s="23">
        <v>644</v>
      </c>
      <c r="C318" s="23">
        <v>645</v>
      </c>
      <c r="D318" s="23" t="s">
        <v>321</v>
      </c>
      <c r="E318" s="24">
        <v>420.77</v>
      </c>
      <c r="F318" s="25">
        <v>20</v>
      </c>
      <c r="G318" s="24">
        <f t="shared" si="8"/>
        <v>21.038499999999999</v>
      </c>
      <c r="H318" s="23" t="s">
        <v>759</v>
      </c>
      <c r="I318" s="23" t="s">
        <v>760</v>
      </c>
      <c r="J318" s="23" t="str">
        <f t="shared" si="9"/>
        <v>OK</v>
      </c>
      <c r="K318" s="23"/>
    </row>
    <row r="319" spans="1:11" x14ac:dyDescent="0.25">
      <c r="A319" s="23" t="s">
        <v>1079</v>
      </c>
      <c r="B319" s="23">
        <v>646</v>
      </c>
      <c r="C319" s="23">
        <v>647</v>
      </c>
      <c r="D319" s="23" t="s">
        <v>322</v>
      </c>
      <c r="E319" s="24">
        <v>259.2</v>
      </c>
      <c r="F319" s="25">
        <v>120</v>
      </c>
      <c r="G319" s="24">
        <f t="shared" si="8"/>
        <v>2.1599999999999997</v>
      </c>
      <c r="H319" s="23" t="s">
        <v>759</v>
      </c>
      <c r="I319" s="23" t="s">
        <v>760</v>
      </c>
      <c r="J319" s="23" t="str">
        <f t="shared" si="9"/>
        <v>OK</v>
      </c>
      <c r="K319" s="23"/>
    </row>
    <row r="320" spans="1:11" ht="26.4" x14ac:dyDescent="0.25">
      <c r="A320" s="23" t="s">
        <v>1080</v>
      </c>
      <c r="B320" s="23">
        <v>648</v>
      </c>
      <c r="C320" s="23">
        <v>649</v>
      </c>
      <c r="D320" s="23" t="s">
        <v>323</v>
      </c>
      <c r="E320" s="24">
        <v>370406.29</v>
      </c>
      <c r="F320" s="25">
        <v>5398</v>
      </c>
      <c r="G320" s="24">
        <f t="shared" si="8"/>
        <v>68.619171915524262</v>
      </c>
      <c r="H320" s="23" t="s">
        <v>759</v>
      </c>
      <c r="I320" s="23" t="s">
        <v>760</v>
      </c>
      <c r="J320" s="23" t="str">
        <f t="shared" si="9"/>
        <v>OK</v>
      </c>
      <c r="K320" s="23"/>
    </row>
    <row r="321" spans="1:11" x14ac:dyDescent="0.25">
      <c r="A321" s="23" t="s">
        <v>1081</v>
      </c>
      <c r="B321" s="23">
        <v>650</v>
      </c>
      <c r="C321" s="23">
        <v>651</v>
      </c>
      <c r="D321" s="23" t="s">
        <v>324</v>
      </c>
      <c r="E321" s="24">
        <v>176.41</v>
      </c>
      <c r="F321" s="25">
        <v>2</v>
      </c>
      <c r="G321" s="24">
        <f t="shared" si="8"/>
        <v>88.204999999999998</v>
      </c>
      <c r="H321" s="23" t="s">
        <v>759</v>
      </c>
      <c r="I321" s="23" t="s">
        <v>760</v>
      </c>
      <c r="J321" s="23" t="str">
        <f t="shared" si="9"/>
        <v>OK</v>
      </c>
      <c r="K321" s="23"/>
    </row>
    <row r="322" spans="1:11" x14ac:dyDescent="0.25">
      <c r="A322" s="23" t="s">
        <v>1082</v>
      </c>
      <c r="B322" s="23">
        <v>652</v>
      </c>
      <c r="C322" s="23">
        <v>653</v>
      </c>
      <c r="D322" s="23" t="s">
        <v>325</v>
      </c>
      <c r="E322" s="24">
        <v>139.47999999999999</v>
      </c>
      <c r="F322" s="25">
        <v>40</v>
      </c>
      <c r="G322" s="24">
        <f t="shared" ref="G322:G385" si="10">IFERROR(E322/F322,"")</f>
        <v>3.4869999999999997</v>
      </c>
      <c r="H322" s="23" t="s">
        <v>759</v>
      </c>
      <c r="I322" s="23" t="s">
        <v>760</v>
      </c>
      <c r="J322" s="23" t="str">
        <f t="shared" ref="J322:J385" si="11">IF(OR(E322="",F322=""),"LIPSESC DATE",IF(F322=0,"CANTITATE 0","OK"))</f>
        <v>OK</v>
      </c>
      <c r="K322" s="23"/>
    </row>
    <row r="323" spans="1:11" x14ac:dyDescent="0.25">
      <c r="A323" s="23" t="s">
        <v>1083</v>
      </c>
      <c r="B323" s="23">
        <v>654</v>
      </c>
      <c r="C323" s="23">
        <v>655</v>
      </c>
      <c r="D323" s="23" t="s">
        <v>326</v>
      </c>
      <c r="E323" s="24">
        <v>1501.16</v>
      </c>
      <c r="F323" s="25">
        <v>2220</v>
      </c>
      <c r="G323" s="24">
        <f t="shared" si="10"/>
        <v>0.67619819819819826</v>
      </c>
      <c r="H323" s="23" t="s">
        <v>759</v>
      </c>
      <c r="I323" s="23" t="s">
        <v>760</v>
      </c>
      <c r="J323" s="23" t="str">
        <f t="shared" si="11"/>
        <v>OK</v>
      </c>
      <c r="K323" s="23"/>
    </row>
    <row r="324" spans="1:11" x14ac:dyDescent="0.25">
      <c r="A324" s="23" t="s">
        <v>1084</v>
      </c>
      <c r="B324" s="23">
        <v>656</v>
      </c>
      <c r="C324" s="23">
        <v>657</v>
      </c>
      <c r="D324" s="23" t="s">
        <v>327</v>
      </c>
      <c r="E324" s="24">
        <v>49.07</v>
      </c>
      <c r="F324" s="25">
        <v>350</v>
      </c>
      <c r="G324" s="24">
        <f t="shared" si="10"/>
        <v>0.14019999999999999</v>
      </c>
      <c r="H324" s="23" t="s">
        <v>759</v>
      </c>
      <c r="I324" s="23" t="s">
        <v>760</v>
      </c>
      <c r="J324" s="23" t="str">
        <f t="shared" si="11"/>
        <v>OK</v>
      </c>
      <c r="K324" s="23"/>
    </row>
    <row r="325" spans="1:11" x14ac:dyDescent="0.25">
      <c r="A325" s="23" t="s">
        <v>1085</v>
      </c>
      <c r="B325" s="23">
        <v>658</v>
      </c>
      <c r="C325" s="23">
        <v>659</v>
      </c>
      <c r="D325" s="23" t="s">
        <v>328</v>
      </c>
      <c r="E325" s="24">
        <v>-8.02</v>
      </c>
      <c r="F325" s="25">
        <v>-10</v>
      </c>
      <c r="G325" s="24">
        <f t="shared" si="10"/>
        <v>0.80199999999999994</v>
      </c>
      <c r="H325" s="23" t="s">
        <v>759</v>
      </c>
      <c r="I325" s="23" t="s">
        <v>760</v>
      </c>
      <c r="J325" s="23" t="str">
        <f t="shared" si="11"/>
        <v>OK</v>
      </c>
      <c r="K325" s="23"/>
    </row>
    <row r="326" spans="1:11" x14ac:dyDescent="0.25">
      <c r="A326" s="23" t="s">
        <v>1086</v>
      </c>
      <c r="B326" s="23">
        <v>660</v>
      </c>
      <c r="C326" s="23">
        <v>661</v>
      </c>
      <c r="D326" s="23" t="s">
        <v>329</v>
      </c>
      <c r="E326" s="24">
        <v>541.86</v>
      </c>
      <c r="F326" s="25">
        <v>200</v>
      </c>
      <c r="G326" s="24">
        <f t="shared" si="10"/>
        <v>2.7093000000000003</v>
      </c>
      <c r="H326" s="23" t="s">
        <v>759</v>
      </c>
      <c r="I326" s="23" t="s">
        <v>760</v>
      </c>
      <c r="J326" s="23" t="str">
        <f t="shared" si="11"/>
        <v>OK</v>
      </c>
      <c r="K326" s="23"/>
    </row>
    <row r="327" spans="1:11" x14ac:dyDescent="0.25">
      <c r="A327" s="23" t="s">
        <v>1087</v>
      </c>
      <c r="B327" s="23">
        <v>662</v>
      </c>
      <c r="C327" s="23">
        <v>663</v>
      </c>
      <c r="D327" s="23" t="s">
        <v>330</v>
      </c>
      <c r="E327" s="24">
        <v>1153.92</v>
      </c>
      <c r="F327" s="25">
        <v>300</v>
      </c>
      <c r="G327" s="24">
        <f t="shared" si="10"/>
        <v>3.8464</v>
      </c>
      <c r="H327" s="23" t="s">
        <v>759</v>
      </c>
      <c r="I327" s="23" t="s">
        <v>760</v>
      </c>
      <c r="J327" s="23" t="str">
        <f t="shared" si="11"/>
        <v>OK</v>
      </c>
      <c r="K327" s="23"/>
    </row>
    <row r="328" spans="1:11" x14ac:dyDescent="0.25">
      <c r="A328" s="23" t="s">
        <v>1088</v>
      </c>
      <c r="B328" s="23">
        <v>664</v>
      </c>
      <c r="C328" s="23">
        <v>665</v>
      </c>
      <c r="D328" s="23" t="s">
        <v>331</v>
      </c>
      <c r="E328" s="24">
        <v>54.72</v>
      </c>
      <c r="F328" s="25">
        <v>8</v>
      </c>
      <c r="G328" s="24">
        <f t="shared" si="10"/>
        <v>6.84</v>
      </c>
      <c r="H328" s="23" t="s">
        <v>759</v>
      </c>
      <c r="I328" s="23" t="s">
        <v>760</v>
      </c>
      <c r="J328" s="23" t="str">
        <f t="shared" si="11"/>
        <v>OK</v>
      </c>
      <c r="K328" s="23"/>
    </row>
    <row r="329" spans="1:11" x14ac:dyDescent="0.25">
      <c r="A329" s="23" t="s">
        <v>1089</v>
      </c>
      <c r="B329" s="23">
        <v>666</v>
      </c>
      <c r="C329" s="23">
        <v>667</v>
      </c>
      <c r="D329" s="23" t="s">
        <v>332</v>
      </c>
      <c r="E329" s="24">
        <v>3501.6</v>
      </c>
      <c r="F329" s="25">
        <v>245</v>
      </c>
      <c r="G329" s="24">
        <f t="shared" si="10"/>
        <v>14.292244897959183</v>
      </c>
      <c r="H329" s="23" t="s">
        <v>759</v>
      </c>
      <c r="I329" s="23" t="s">
        <v>760</v>
      </c>
      <c r="J329" s="23" t="str">
        <f t="shared" si="11"/>
        <v>OK</v>
      </c>
      <c r="K329" s="23"/>
    </row>
    <row r="330" spans="1:11" x14ac:dyDescent="0.25">
      <c r="A330" s="23" t="s">
        <v>1090</v>
      </c>
      <c r="B330" s="23">
        <v>668</v>
      </c>
      <c r="C330" s="23">
        <v>669</v>
      </c>
      <c r="D330" s="23" t="s">
        <v>1091</v>
      </c>
      <c r="E330" s="24">
        <v>1244.47</v>
      </c>
      <c r="F330" s="25">
        <v>150</v>
      </c>
      <c r="G330" s="24">
        <f t="shared" si="10"/>
        <v>8.2964666666666673</v>
      </c>
      <c r="H330" s="23" t="s">
        <v>759</v>
      </c>
      <c r="I330" s="23" t="s">
        <v>760</v>
      </c>
      <c r="J330" s="23" t="str">
        <f t="shared" si="11"/>
        <v>OK</v>
      </c>
      <c r="K330" s="23"/>
    </row>
    <row r="331" spans="1:11" x14ac:dyDescent="0.25">
      <c r="A331" s="23" t="s">
        <v>1092</v>
      </c>
      <c r="B331" s="23">
        <v>670</v>
      </c>
      <c r="C331" s="23">
        <v>671</v>
      </c>
      <c r="D331" s="23" t="s">
        <v>334</v>
      </c>
      <c r="E331" s="24">
        <v>4095.09</v>
      </c>
      <c r="F331" s="25">
        <v>9450</v>
      </c>
      <c r="G331" s="24">
        <f t="shared" si="10"/>
        <v>0.43334285714285714</v>
      </c>
      <c r="H331" s="23" t="s">
        <v>759</v>
      </c>
      <c r="I331" s="23" t="s">
        <v>760</v>
      </c>
      <c r="J331" s="23" t="str">
        <f t="shared" si="11"/>
        <v>OK</v>
      </c>
      <c r="K331" s="23"/>
    </row>
    <row r="332" spans="1:11" x14ac:dyDescent="0.25">
      <c r="A332" s="23" t="s">
        <v>1093</v>
      </c>
      <c r="B332" s="23">
        <v>672</v>
      </c>
      <c r="C332" s="23">
        <v>673</v>
      </c>
      <c r="D332" s="23" t="s">
        <v>335</v>
      </c>
      <c r="E332" s="24">
        <v>17235.07</v>
      </c>
      <c r="F332" s="25">
        <v>2400</v>
      </c>
      <c r="G332" s="24">
        <f t="shared" si="10"/>
        <v>7.1812791666666662</v>
      </c>
      <c r="H332" s="23" t="s">
        <v>759</v>
      </c>
      <c r="I332" s="23" t="s">
        <v>760</v>
      </c>
      <c r="J332" s="23" t="str">
        <f t="shared" si="11"/>
        <v>OK</v>
      </c>
      <c r="K332" s="23"/>
    </row>
    <row r="333" spans="1:11" x14ac:dyDescent="0.25">
      <c r="A333" s="23" t="s">
        <v>1094</v>
      </c>
      <c r="B333" s="23">
        <v>674</v>
      </c>
      <c r="C333" s="23">
        <v>675</v>
      </c>
      <c r="D333" s="23" t="s">
        <v>336</v>
      </c>
      <c r="E333" s="24">
        <v>64.8</v>
      </c>
      <c r="F333" s="25">
        <v>48</v>
      </c>
      <c r="G333" s="24">
        <f t="shared" si="10"/>
        <v>1.3499999999999999</v>
      </c>
      <c r="H333" s="23" t="s">
        <v>759</v>
      </c>
      <c r="I333" s="23" t="s">
        <v>760</v>
      </c>
      <c r="J333" s="23" t="str">
        <f t="shared" si="11"/>
        <v>OK</v>
      </c>
      <c r="K333" s="23"/>
    </row>
    <row r="334" spans="1:11" x14ac:dyDescent="0.25">
      <c r="A334" s="23" t="s">
        <v>1095</v>
      </c>
      <c r="B334" s="23">
        <v>676</v>
      </c>
      <c r="C334" s="23">
        <v>677</v>
      </c>
      <c r="D334" s="23" t="s">
        <v>337</v>
      </c>
      <c r="E334" s="24">
        <v>745.2</v>
      </c>
      <c r="F334" s="25">
        <v>260</v>
      </c>
      <c r="G334" s="24">
        <f t="shared" si="10"/>
        <v>2.8661538461538463</v>
      </c>
      <c r="H334" s="23" t="s">
        <v>759</v>
      </c>
      <c r="I334" s="23" t="s">
        <v>760</v>
      </c>
      <c r="J334" s="23" t="str">
        <f t="shared" si="11"/>
        <v>OK</v>
      </c>
      <c r="K334" s="23"/>
    </row>
    <row r="335" spans="1:11" x14ac:dyDescent="0.25">
      <c r="A335" s="23" t="s">
        <v>1096</v>
      </c>
      <c r="B335" s="23">
        <v>678</v>
      </c>
      <c r="C335" s="23">
        <v>679</v>
      </c>
      <c r="D335" s="23" t="s">
        <v>338</v>
      </c>
      <c r="E335" s="24">
        <v>745.2</v>
      </c>
      <c r="F335" s="25">
        <v>230</v>
      </c>
      <c r="G335" s="24">
        <f t="shared" si="10"/>
        <v>3.24</v>
      </c>
      <c r="H335" s="23" t="s">
        <v>759</v>
      </c>
      <c r="I335" s="23" t="s">
        <v>760</v>
      </c>
      <c r="J335" s="23" t="str">
        <f t="shared" si="11"/>
        <v>OK</v>
      </c>
      <c r="K335" s="23"/>
    </row>
    <row r="336" spans="1:11" x14ac:dyDescent="0.25">
      <c r="A336" s="23" t="s">
        <v>1097</v>
      </c>
      <c r="B336" s="23">
        <v>680</v>
      </c>
      <c r="C336" s="23">
        <v>681</v>
      </c>
      <c r="D336" s="23" t="s">
        <v>339</v>
      </c>
      <c r="E336" s="24">
        <v>21.85</v>
      </c>
      <c r="F336" s="25">
        <v>10</v>
      </c>
      <c r="G336" s="24">
        <f t="shared" si="10"/>
        <v>2.1850000000000001</v>
      </c>
      <c r="H336" s="23" t="s">
        <v>759</v>
      </c>
      <c r="I336" s="23" t="s">
        <v>760</v>
      </c>
      <c r="J336" s="23" t="str">
        <f t="shared" si="11"/>
        <v>OK</v>
      </c>
      <c r="K336" s="23"/>
    </row>
    <row r="337" spans="1:11" x14ac:dyDescent="0.25">
      <c r="A337" s="23" t="s">
        <v>1098</v>
      </c>
      <c r="B337" s="23">
        <v>682</v>
      </c>
      <c r="C337" s="23">
        <v>683</v>
      </c>
      <c r="D337" s="23" t="s">
        <v>340</v>
      </c>
      <c r="E337" s="24">
        <v>1018.87</v>
      </c>
      <c r="F337" s="25">
        <v>178</v>
      </c>
      <c r="G337" s="24">
        <f t="shared" si="10"/>
        <v>5.7239887640449441</v>
      </c>
      <c r="H337" s="23" t="s">
        <v>759</v>
      </c>
      <c r="I337" s="23" t="s">
        <v>760</v>
      </c>
      <c r="J337" s="23" t="str">
        <f t="shared" si="11"/>
        <v>OK</v>
      </c>
      <c r="K337" s="23"/>
    </row>
    <row r="338" spans="1:11" x14ac:dyDescent="0.25">
      <c r="A338" s="23" t="s">
        <v>1099</v>
      </c>
      <c r="B338" s="23">
        <v>684</v>
      </c>
      <c r="C338" s="23">
        <v>685</v>
      </c>
      <c r="D338" s="23" t="s">
        <v>341</v>
      </c>
      <c r="E338" s="24">
        <v>4397.79</v>
      </c>
      <c r="F338" s="25">
        <v>792</v>
      </c>
      <c r="G338" s="24">
        <f t="shared" si="10"/>
        <v>5.5527651515151515</v>
      </c>
      <c r="H338" s="23" t="s">
        <v>759</v>
      </c>
      <c r="I338" s="23" t="s">
        <v>760</v>
      </c>
      <c r="J338" s="23" t="str">
        <f t="shared" si="11"/>
        <v>OK</v>
      </c>
      <c r="K338" s="23"/>
    </row>
    <row r="339" spans="1:11" x14ac:dyDescent="0.25">
      <c r="A339" s="23" t="s">
        <v>1100</v>
      </c>
      <c r="B339" s="23">
        <v>686</v>
      </c>
      <c r="C339" s="23">
        <v>687</v>
      </c>
      <c r="D339" s="23" t="s">
        <v>342</v>
      </c>
      <c r="E339" s="24">
        <v>313.64999999999998</v>
      </c>
      <c r="F339" s="25">
        <v>68</v>
      </c>
      <c r="G339" s="24">
        <f t="shared" si="10"/>
        <v>4.6124999999999998</v>
      </c>
      <c r="H339" s="23" t="s">
        <v>759</v>
      </c>
      <c r="I339" s="23" t="s">
        <v>760</v>
      </c>
      <c r="J339" s="23" t="str">
        <f t="shared" si="11"/>
        <v>OK</v>
      </c>
      <c r="K339" s="23"/>
    </row>
    <row r="340" spans="1:11" x14ac:dyDescent="0.25">
      <c r="A340" s="23" t="s">
        <v>1101</v>
      </c>
      <c r="B340" s="23">
        <v>688</v>
      </c>
      <c r="C340" s="23">
        <v>689</v>
      </c>
      <c r="D340" s="23" t="s">
        <v>343</v>
      </c>
      <c r="E340" s="24">
        <v>5582.87</v>
      </c>
      <c r="F340" s="25">
        <v>712</v>
      </c>
      <c r="G340" s="24">
        <f t="shared" si="10"/>
        <v>7.8411095505617974</v>
      </c>
      <c r="H340" s="23" t="s">
        <v>759</v>
      </c>
      <c r="I340" s="23" t="s">
        <v>760</v>
      </c>
      <c r="J340" s="23" t="str">
        <f t="shared" si="11"/>
        <v>OK</v>
      </c>
      <c r="K340" s="23"/>
    </row>
    <row r="341" spans="1:11" x14ac:dyDescent="0.25">
      <c r="A341" s="23" t="s">
        <v>1102</v>
      </c>
      <c r="B341" s="23">
        <v>690</v>
      </c>
      <c r="C341" s="23">
        <v>691</v>
      </c>
      <c r="D341" s="23" t="s">
        <v>344</v>
      </c>
      <c r="E341" s="24">
        <v>304.16000000000003</v>
      </c>
      <c r="F341" s="25">
        <v>66</v>
      </c>
      <c r="G341" s="24">
        <f t="shared" si="10"/>
        <v>4.6084848484848493</v>
      </c>
      <c r="H341" s="23" t="s">
        <v>759</v>
      </c>
      <c r="I341" s="23" t="s">
        <v>760</v>
      </c>
      <c r="J341" s="23" t="str">
        <f t="shared" si="11"/>
        <v>OK</v>
      </c>
      <c r="K341" s="23"/>
    </row>
    <row r="342" spans="1:11" x14ac:dyDescent="0.25">
      <c r="A342" s="23" t="s">
        <v>1103</v>
      </c>
      <c r="B342" s="23">
        <v>692</v>
      </c>
      <c r="C342" s="23">
        <v>693</v>
      </c>
      <c r="D342" s="23" t="s">
        <v>345</v>
      </c>
      <c r="E342" s="24">
        <v>217.6</v>
      </c>
      <c r="F342" s="25">
        <v>32</v>
      </c>
      <c r="G342" s="24">
        <f t="shared" si="10"/>
        <v>6.8</v>
      </c>
      <c r="H342" s="23" t="s">
        <v>759</v>
      </c>
      <c r="I342" s="23" t="s">
        <v>760</v>
      </c>
      <c r="J342" s="23" t="str">
        <f t="shared" si="11"/>
        <v>OK</v>
      </c>
      <c r="K342" s="23"/>
    </row>
    <row r="343" spans="1:11" x14ac:dyDescent="0.25">
      <c r="A343" s="23" t="s">
        <v>1104</v>
      </c>
      <c r="B343" s="23">
        <v>694</v>
      </c>
      <c r="C343" s="23">
        <v>695</v>
      </c>
      <c r="D343" s="23" t="s">
        <v>346</v>
      </c>
      <c r="E343" s="24">
        <v>2288.94</v>
      </c>
      <c r="F343" s="25">
        <v>740</v>
      </c>
      <c r="G343" s="24">
        <f t="shared" si="10"/>
        <v>3.0931621621621623</v>
      </c>
      <c r="H343" s="23" t="s">
        <v>759</v>
      </c>
      <c r="I343" s="23" t="s">
        <v>760</v>
      </c>
      <c r="J343" s="23" t="str">
        <f t="shared" si="11"/>
        <v>OK</v>
      </c>
      <c r="K343" s="23"/>
    </row>
    <row r="344" spans="1:11" x14ac:dyDescent="0.25">
      <c r="A344" s="23" t="s">
        <v>1105</v>
      </c>
      <c r="B344" s="23">
        <v>696</v>
      </c>
      <c r="C344" s="23">
        <v>697</v>
      </c>
      <c r="D344" s="23" t="s">
        <v>347</v>
      </c>
      <c r="E344" s="24">
        <v>2152.35</v>
      </c>
      <c r="F344" s="25">
        <v>1220</v>
      </c>
      <c r="G344" s="24">
        <f t="shared" si="10"/>
        <v>1.7642213114754097</v>
      </c>
      <c r="H344" s="23" t="s">
        <v>759</v>
      </c>
      <c r="I344" s="23" t="s">
        <v>760</v>
      </c>
      <c r="J344" s="23" t="str">
        <f t="shared" si="11"/>
        <v>OK</v>
      </c>
      <c r="K344" s="23"/>
    </row>
    <row r="345" spans="1:11" x14ac:dyDescent="0.25">
      <c r="A345" s="23" t="s">
        <v>1106</v>
      </c>
      <c r="B345" s="23">
        <v>698</v>
      </c>
      <c r="C345" s="23">
        <v>699</v>
      </c>
      <c r="D345" s="23" t="s">
        <v>348</v>
      </c>
      <c r="E345" s="24">
        <v>3717.07</v>
      </c>
      <c r="F345" s="25">
        <v>157</v>
      </c>
      <c r="G345" s="24">
        <f t="shared" si="10"/>
        <v>23.675605095541403</v>
      </c>
      <c r="H345" s="23" t="s">
        <v>759</v>
      </c>
      <c r="I345" s="23" t="s">
        <v>760</v>
      </c>
      <c r="J345" s="23" t="str">
        <f t="shared" si="11"/>
        <v>OK</v>
      </c>
      <c r="K345" s="23"/>
    </row>
    <row r="346" spans="1:11" x14ac:dyDescent="0.25">
      <c r="A346" s="23" t="s">
        <v>1107</v>
      </c>
      <c r="B346" s="23">
        <v>700</v>
      </c>
      <c r="C346" s="23">
        <v>701</v>
      </c>
      <c r="D346" s="23" t="s">
        <v>349</v>
      </c>
      <c r="E346" s="24">
        <v>3436.77</v>
      </c>
      <c r="F346" s="25">
        <v>135</v>
      </c>
      <c r="G346" s="24">
        <f t="shared" si="10"/>
        <v>25.457555555555555</v>
      </c>
      <c r="H346" s="23" t="s">
        <v>759</v>
      </c>
      <c r="I346" s="23" t="s">
        <v>760</v>
      </c>
      <c r="J346" s="23" t="str">
        <f t="shared" si="11"/>
        <v>OK</v>
      </c>
      <c r="K346" s="23"/>
    </row>
    <row r="347" spans="1:11" x14ac:dyDescent="0.25">
      <c r="A347" s="23" t="s">
        <v>1108</v>
      </c>
      <c r="B347" s="23">
        <v>702</v>
      </c>
      <c r="C347" s="23">
        <v>703</v>
      </c>
      <c r="D347" s="23" t="s">
        <v>350</v>
      </c>
      <c r="E347" s="24">
        <v>14663.58</v>
      </c>
      <c r="F347" s="25">
        <v>600</v>
      </c>
      <c r="G347" s="24">
        <f t="shared" si="10"/>
        <v>24.439299999999999</v>
      </c>
      <c r="H347" s="23" t="s">
        <v>759</v>
      </c>
      <c r="I347" s="23" t="s">
        <v>760</v>
      </c>
      <c r="J347" s="23" t="str">
        <f t="shared" si="11"/>
        <v>OK</v>
      </c>
      <c r="K347" s="23"/>
    </row>
    <row r="348" spans="1:11" x14ac:dyDescent="0.25">
      <c r="A348" s="23" t="s">
        <v>1109</v>
      </c>
      <c r="B348" s="23">
        <v>704</v>
      </c>
      <c r="C348" s="23">
        <v>705</v>
      </c>
      <c r="D348" s="23" t="s">
        <v>351</v>
      </c>
      <c r="E348" s="24">
        <v>24.59</v>
      </c>
      <c r="F348" s="25">
        <v>50</v>
      </c>
      <c r="G348" s="24">
        <f t="shared" si="10"/>
        <v>0.49180000000000001</v>
      </c>
      <c r="H348" s="23" t="s">
        <v>759</v>
      </c>
      <c r="I348" s="23" t="s">
        <v>760</v>
      </c>
      <c r="J348" s="23" t="str">
        <f t="shared" si="11"/>
        <v>OK</v>
      </c>
      <c r="K348" s="23"/>
    </row>
    <row r="349" spans="1:11" x14ac:dyDescent="0.25">
      <c r="A349" s="23" t="s">
        <v>1110</v>
      </c>
      <c r="B349" s="23">
        <v>706</v>
      </c>
      <c r="C349" s="23">
        <v>707</v>
      </c>
      <c r="D349" s="23" t="s">
        <v>352</v>
      </c>
      <c r="E349" s="24">
        <v>122.95</v>
      </c>
      <c r="F349" s="25">
        <v>250</v>
      </c>
      <c r="G349" s="24">
        <f t="shared" si="10"/>
        <v>0.49180000000000001</v>
      </c>
      <c r="H349" s="23" t="s">
        <v>759</v>
      </c>
      <c r="I349" s="23" t="s">
        <v>760</v>
      </c>
      <c r="J349" s="23" t="str">
        <f t="shared" si="11"/>
        <v>OK</v>
      </c>
      <c r="K349" s="23"/>
    </row>
    <row r="350" spans="1:11" x14ac:dyDescent="0.25">
      <c r="A350" s="23" t="s">
        <v>1111</v>
      </c>
      <c r="B350" s="23">
        <v>708</v>
      </c>
      <c r="C350" s="23">
        <v>709</v>
      </c>
      <c r="D350" s="23" t="s">
        <v>353</v>
      </c>
      <c r="E350" s="24">
        <v>70.63</v>
      </c>
      <c r="F350" s="25">
        <v>20</v>
      </c>
      <c r="G350" s="24">
        <f t="shared" si="10"/>
        <v>3.5314999999999999</v>
      </c>
      <c r="H350" s="23" t="s">
        <v>759</v>
      </c>
      <c r="I350" s="23" t="s">
        <v>760</v>
      </c>
      <c r="J350" s="23" t="str">
        <f t="shared" si="11"/>
        <v>OK</v>
      </c>
      <c r="K350" s="23"/>
    </row>
    <row r="351" spans="1:11" x14ac:dyDescent="0.25">
      <c r="A351" s="23" t="s">
        <v>1112</v>
      </c>
      <c r="B351" s="23">
        <v>710</v>
      </c>
      <c r="C351" s="23">
        <v>711</v>
      </c>
      <c r="D351" s="23" t="s">
        <v>354</v>
      </c>
      <c r="E351" s="24">
        <v>220.11</v>
      </c>
      <c r="F351" s="25">
        <v>20</v>
      </c>
      <c r="G351" s="24">
        <f t="shared" si="10"/>
        <v>11.005500000000001</v>
      </c>
      <c r="H351" s="23" t="s">
        <v>759</v>
      </c>
      <c r="I351" s="23" t="s">
        <v>760</v>
      </c>
      <c r="J351" s="23" t="str">
        <f t="shared" si="11"/>
        <v>OK</v>
      </c>
      <c r="K351" s="23"/>
    </row>
    <row r="352" spans="1:11" x14ac:dyDescent="0.25">
      <c r="A352" s="23" t="s">
        <v>1113</v>
      </c>
      <c r="B352" s="23">
        <v>712</v>
      </c>
      <c r="C352" s="23">
        <v>713</v>
      </c>
      <c r="D352" s="23" t="s">
        <v>355</v>
      </c>
      <c r="E352" s="24">
        <v>392.19</v>
      </c>
      <c r="F352" s="25">
        <v>336</v>
      </c>
      <c r="G352" s="24">
        <f t="shared" si="10"/>
        <v>1.1672321428571428</v>
      </c>
      <c r="H352" s="23" t="s">
        <v>759</v>
      </c>
      <c r="I352" s="23" t="s">
        <v>760</v>
      </c>
      <c r="J352" s="23" t="str">
        <f t="shared" si="11"/>
        <v>OK</v>
      </c>
      <c r="K352" s="23"/>
    </row>
    <row r="353" spans="1:11" x14ac:dyDescent="0.25">
      <c r="A353" s="23" t="s">
        <v>1114</v>
      </c>
      <c r="B353" s="23">
        <v>714</v>
      </c>
      <c r="C353" s="23">
        <v>715</v>
      </c>
      <c r="D353" s="23" t="s">
        <v>356</v>
      </c>
      <c r="E353" s="24">
        <v>6648.45</v>
      </c>
      <c r="F353" s="25">
        <v>205</v>
      </c>
      <c r="G353" s="24">
        <f t="shared" si="10"/>
        <v>32.431463414634145</v>
      </c>
      <c r="H353" s="23" t="s">
        <v>759</v>
      </c>
      <c r="I353" s="23" t="s">
        <v>760</v>
      </c>
      <c r="J353" s="23" t="str">
        <f t="shared" si="11"/>
        <v>OK</v>
      </c>
      <c r="K353" s="23"/>
    </row>
    <row r="354" spans="1:11" x14ac:dyDescent="0.25">
      <c r="A354" s="23" t="s">
        <v>1115</v>
      </c>
      <c r="B354" s="23">
        <v>716</v>
      </c>
      <c r="C354" s="23">
        <v>717</v>
      </c>
      <c r="D354" s="23" t="s">
        <v>357</v>
      </c>
      <c r="E354" s="24">
        <v>25865.21</v>
      </c>
      <c r="F354" s="25">
        <v>898</v>
      </c>
      <c r="G354" s="24">
        <f t="shared" si="10"/>
        <v>28.803129175946548</v>
      </c>
      <c r="H354" s="23" t="s">
        <v>759</v>
      </c>
      <c r="I354" s="23" t="s">
        <v>760</v>
      </c>
      <c r="J354" s="23" t="str">
        <f t="shared" si="11"/>
        <v>OK</v>
      </c>
      <c r="K354" s="23"/>
    </row>
    <row r="355" spans="1:11" x14ac:dyDescent="0.25">
      <c r="A355" s="23" t="s">
        <v>1116</v>
      </c>
      <c r="B355" s="23">
        <v>718</v>
      </c>
      <c r="C355" s="23">
        <v>719</v>
      </c>
      <c r="D355" s="23" t="s">
        <v>358</v>
      </c>
      <c r="E355" s="24">
        <v>7548.73</v>
      </c>
      <c r="F355" s="25">
        <v>74</v>
      </c>
      <c r="G355" s="24">
        <f t="shared" si="10"/>
        <v>102.00986486486485</v>
      </c>
      <c r="H355" s="23" t="s">
        <v>759</v>
      </c>
      <c r="I355" s="23" t="s">
        <v>760</v>
      </c>
      <c r="J355" s="23" t="str">
        <f t="shared" si="11"/>
        <v>OK</v>
      </c>
      <c r="K355" s="23"/>
    </row>
    <row r="356" spans="1:11" x14ac:dyDescent="0.25">
      <c r="A356" s="23" t="s">
        <v>1117</v>
      </c>
      <c r="B356" s="23">
        <v>720</v>
      </c>
      <c r="C356" s="23">
        <v>721</v>
      </c>
      <c r="D356" s="23" t="s">
        <v>359</v>
      </c>
      <c r="E356" s="24">
        <v>1258.74</v>
      </c>
      <c r="F356" s="25">
        <v>300</v>
      </c>
      <c r="G356" s="24">
        <f t="shared" si="10"/>
        <v>4.1958000000000002</v>
      </c>
      <c r="H356" s="23" t="s">
        <v>759</v>
      </c>
      <c r="I356" s="23" t="s">
        <v>760</v>
      </c>
      <c r="J356" s="23" t="str">
        <f t="shared" si="11"/>
        <v>OK</v>
      </c>
      <c r="K356" s="23"/>
    </row>
    <row r="357" spans="1:11" x14ac:dyDescent="0.25">
      <c r="A357" s="23" t="s">
        <v>1118</v>
      </c>
      <c r="B357" s="23">
        <v>722</v>
      </c>
      <c r="C357" s="23">
        <v>723</v>
      </c>
      <c r="D357" s="23" t="s">
        <v>360</v>
      </c>
      <c r="E357" s="24">
        <v>16404.599999999999</v>
      </c>
      <c r="F357" s="25">
        <v>4320</v>
      </c>
      <c r="G357" s="24">
        <f t="shared" si="10"/>
        <v>3.797361111111111</v>
      </c>
      <c r="H357" s="23" t="s">
        <v>759</v>
      </c>
      <c r="I357" s="23" t="s">
        <v>760</v>
      </c>
      <c r="J357" s="23" t="str">
        <f t="shared" si="11"/>
        <v>OK</v>
      </c>
      <c r="K357" s="23"/>
    </row>
    <row r="358" spans="1:11" x14ac:dyDescent="0.25">
      <c r="A358" s="23" t="s">
        <v>1119</v>
      </c>
      <c r="B358" s="23">
        <v>724</v>
      </c>
      <c r="C358" s="23">
        <v>725</v>
      </c>
      <c r="D358" s="23" t="s">
        <v>361</v>
      </c>
      <c r="E358" s="24">
        <v>125.76</v>
      </c>
      <c r="F358" s="25">
        <v>5</v>
      </c>
      <c r="G358" s="24">
        <f t="shared" si="10"/>
        <v>25.152000000000001</v>
      </c>
      <c r="H358" s="23" t="s">
        <v>759</v>
      </c>
      <c r="I358" s="23" t="s">
        <v>760</v>
      </c>
      <c r="J358" s="23" t="str">
        <f t="shared" si="11"/>
        <v>OK</v>
      </c>
      <c r="K358" s="23"/>
    </row>
    <row r="359" spans="1:11" x14ac:dyDescent="0.25">
      <c r="A359" s="23" t="s">
        <v>1120</v>
      </c>
      <c r="B359" s="23">
        <v>726</v>
      </c>
      <c r="C359" s="23">
        <v>727</v>
      </c>
      <c r="D359" s="23" t="s">
        <v>362</v>
      </c>
      <c r="E359" s="24">
        <v>666.92</v>
      </c>
      <c r="F359" s="25">
        <v>25</v>
      </c>
      <c r="G359" s="24">
        <f t="shared" si="10"/>
        <v>26.6768</v>
      </c>
      <c r="H359" s="23" t="s">
        <v>759</v>
      </c>
      <c r="I359" s="23" t="s">
        <v>760</v>
      </c>
      <c r="J359" s="23" t="str">
        <f t="shared" si="11"/>
        <v>OK</v>
      </c>
      <c r="K359" s="23"/>
    </row>
    <row r="360" spans="1:11" x14ac:dyDescent="0.25">
      <c r="A360" s="23" t="s">
        <v>1121</v>
      </c>
      <c r="B360" s="23">
        <v>728</v>
      </c>
      <c r="C360" s="23">
        <v>729</v>
      </c>
      <c r="D360" s="23" t="s">
        <v>363</v>
      </c>
      <c r="E360" s="24">
        <v>128.35</v>
      </c>
      <c r="F360" s="25">
        <v>6</v>
      </c>
      <c r="G360" s="24">
        <f t="shared" si="10"/>
        <v>21.391666666666666</v>
      </c>
      <c r="H360" s="23" t="s">
        <v>759</v>
      </c>
      <c r="I360" s="23" t="s">
        <v>760</v>
      </c>
      <c r="J360" s="23" t="str">
        <f t="shared" si="11"/>
        <v>OK</v>
      </c>
      <c r="K360" s="23"/>
    </row>
    <row r="361" spans="1:11" x14ac:dyDescent="0.25">
      <c r="A361" s="23" t="s">
        <v>1122</v>
      </c>
      <c r="B361" s="23">
        <v>730</v>
      </c>
      <c r="C361" s="23">
        <v>731</v>
      </c>
      <c r="D361" s="23" t="s">
        <v>364</v>
      </c>
      <c r="E361" s="24">
        <v>4774.42</v>
      </c>
      <c r="F361" s="25">
        <v>510</v>
      </c>
      <c r="G361" s="24">
        <f t="shared" si="10"/>
        <v>9.3616078431372554</v>
      </c>
      <c r="H361" s="23" t="s">
        <v>759</v>
      </c>
      <c r="I361" s="23" t="s">
        <v>760</v>
      </c>
      <c r="J361" s="23" t="str">
        <f t="shared" si="11"/>
        <v>OK</v>
      </c>
      <c r="K361" s="23"/>
    </row>
    <row r="362" spans="1:11" x14ac:dyDescent="0.25">
      <c r="A362" s="23" t="s">
        <v>1123</v>
      </c>
      <c r="B362" s="23">
        <v>732</v>
      </c>
      <c r="C362" s="23">
        <v>733</v>
      </c>
      <c r="D362" s="23" t="s">
        <v>365</v>
      </c>
      <c r="E362" s="24">
        <v>1011.96</v>
      </c>
      <c r="F362" s="25">
        <v>90</v>
      </c>
      <c r="G362" s="24">
        <f t="shared" si="10"/>
        <v>11.244</v>
      </c>
      <c r="H362" s="23" t="s">
        <v>759</v>
      </c>
      <c r="I362" s="23" t="s">
        <v>760</v>
      </c>
      <c r="J362" s="23" t="str">
        <f t="shared" si="11"/>
        <v>OK</v>
      </c>
      <c r="K362" s="23"/>
    </row>
    <row r="363" spans="1:11" ht="26.4" x14ac:dyDescent="0.25">
      <c r="A363" s="23" t="s">
        <v>1124</v>
      </c>
      <c r="B363" s="23">
        <v>734</v>
      </c>
      <c r="C363" s="23">
        <v>735</v>
      </c>
      <c r="D363" s="23" t="s">
        <v>366</v>
      </c>
      <c r="E363" s="24">
        <v>877.18</v>
      </c>
      <c r="F363" s="25">
        <v>18</v>
      </c>
      <c r="G363" s="24">
        <f t="shared" si="10"/>
        <v>48.732222222222219</v>
      </c>
      <c r="H363" s="23" t="s">
        <v>759</v>
      </c>
      <c r="I363" s="23" t="s">
        <v>760</v>
      </c>
      <c r="J363" s="23" t="str">
        <f t="shared" si="11"/>
        <v>OK</v>
      </c>
      <c r="K363" s="23"/>
    </row>
    <row r="364" spans="1:11" x14ac:dyDescent="0.25">
      <c r="A364" s="23" t="s">
        <v>1125</v>
      </c>
      <c r="B364" s="23">
        <v>736</v>
      </c>
      <c r="C364" s="23">
        <v>737</v>
      </c>
      <c r="D364" s="23" t="s">
        <v>367</v>
      </c>
      <c r="E364" s="24">
        <v>1013.04</v>
      </c>
      <c r="F364" s="25">
        <v>30</v>
      </c>
      <c r="G364" s="24">
        <f t="shared" si="10"/>
        <v>33.768000000000001</v>
      </c>
      <c r="H364" s="23" t="s">
        <v>759</v>
      </c>
      <c r="I364" s="23" t="s">
        <v>760</v>
      </c>
      <c r="J364" s="23" t="str">
        <f t="shared" si="11"/>
        <v>OK</v>
      </c>
      <c r="K364" s="23"/>
    </row>
    <row r="365" spans="1:11" x14ac:dyDescent="0.25">
      <c r="A365" s="23" t="s">
        <v>1126</v>
      </c>
      <c r="B365" s="23">
        <v>738</v>
      </c>
      <c r="C365" s="23">
        <v>739</v>
      </c>
      <c r="D365" s="23" t="s">
        <v>368</v>
      </c>
      <c r="E365" s="24">
        <v>10331.18</v>
      </c>
      <c r="F365" s="25">
        <v>212</v>
      </c>
      <c r="G365" s="24">
        <f t="shared" si="10"/>
        <v>48.731981132075475</v>
      </c>
      <c r="H365" s="23" t="s">
        <v>759</v>
      </c>
      <c r="I365" s="23" t="s">
        <v>760</v>
      </c>
      <c r="J365" s="23" t="str">
        <f t="shared" si="11"/>
        <v>OK</v>
      </c>
      <c r="K365" s="23"/>
    </row>
    <row r="366" spans="1:11" x14ac:dyDescent="0.25">
      <c r="A366" s="23" t="s">
        <v>1127</v>
      </c>
      <c r="B366" s="23">
        <v>740</v>
      </c>
      <c r="C366" s="23">
        <v>741</v>
      </c>
      <c r="D366" s="23" t="s">
        <v>369</v>
      </c>
      <c r="E366" s="24">
        <v>4483.4399999999996</v>
      </c>
      <c r="F366" s="25">
        <v>60</v>
      </c>
      <c r="G366" s="24">
        <f t="shared" si="10"/>
        <v>74.72399999999999</v>
      </c>
      <c r="H366" s="23" t="s">
        <v>759</v>
      </c>
      <c r="I366" s="23" t="s">
        <v>760</v>
      </c>
      <c r="J366" s="23" t="str">
        <f t="shared" si="11"/>
        <v>OK</v>
      </c>
      <c r="K366" s="23"/>
    </row>
    <row r="367" spans="1:11" x14ac:dyDescent="0.25">
      <c r="A367" s="23" t="s">
        <v>1128</v>
      </c>
      <c r="B367" s="23">
        <v>742</v>
      </c>
      <c r="C367" s="23">
        <v>743</v>
      </c>
      <c r="D367" s="23" t="s">
        <v>370</v>
      </c>
      <c r="E367" s="24">
        <v>16296.72</v>
      </c>
      <c r="F367" s="25">
        <v>880</v>
      </c>
      <c r="G367" s="24">
        <f t="shared" si="10"/>
        <v>18.518999999999998</v>
      </c>
      <c r="H367" s="23" t="s">
        <v>759</v>
      </c>
      <c r="I367" s="23" t="s">
        <v>760</v>
      </c>
      <c r="J367" s="23" t="str">
        <f t="shared" si="11"/>
        <v>OK</v>
      </c>
      <c r="K367" s="23"/>
    </row>
    <row r="368" spans="1:11" x14ac:dyDescent="0.25">
      <c r="A368" s="23" t="s">
        <v>1129</v>
      </c>
      <c r="B368" s="23">
        <v>744</v>
      </c>
      <c r="C368" s="23">
        <v>745</v>
      </c>
      <c r="D368" s="23" t="s">
        <v>371</v>
      </c>
      <c r="E368" s="24">
        <v>396.72</v>
      </c>
      <c r="F368" s="25">
        <v>20</v>
      </c>
      <c r="G368" s="24">
        <f t="shared" si="10"/>
        <v>19.836000000000002</v>
      </c>
      <c r="H368" s="23" t="s">
        <v>759</v>
      </c>
      <c r="I368" s="23" t="s">
        <v>760</v>
      </c>
      <c r="J368" s="23" t="str">
        <f t="shared" si="11"/>
        <v>OK</v>
      </c>
      <c r="K368" s="23"/>
    </row>
    <row r="369" spans="1:11" x14ac:dyDescent="0.25">
      <c r="A369" s="23" t="s">
        <v>1130</v>
      </c>
      <c r="B369" s="23">
        <v>746</v>
      </c>
      <c r="C369" s="23">
        <v>747</v>
      </c>
      <c r="D369" s="23" t="s">
        <v>372</v>
      </c>
      <c r="E369" s="24">
        <v>1660</v>
      </c>
      <c r="F369" s="25">
        <v>20</v>
      </c>
      <c r="G369" s="24">
        <f t="shared" si="10"/>
        <v>83</v>
      </c>
      <c r="H369" s="23" t="s">
        <v>759</v>
      </c>
      <c r="I369" s="23" t="s">
        <v>760</v>
      </c>
      <c r="J369" s="23" t="str">
        <f t="shared" si="11"/>
        <v>OK</v>
      </c>
      <c r="K369" s="23"/>
    </row>
    <row r="370" spans="1:11" x14ac:dyDescent="0.25">
      <c r="A370" s="23" t="s">
        <v>1131</v>
      </c>
      <c r="B370" s="23">
        <v>748</v>
      </c>
      <c r="C370" s="23">
        <v>749</v>
      </c>
      <c r="D370" s="23" t="s">
        <v>373</v>
      </c>
      <c r="E370" s="24">
        <v>383.2</v>
      </c>
      <c r="F370" s="25">
        <v>3</v>
      </c>
      <c r="G370" s="24">
        <f t="shared" si="10"/>
        <v>127.73333333333333</v>
      </c>
      <c r="H370" s="23" t="s">
        <v>759</v>
      </c>
      <c r="I370" s="23" t="s">
        <v>760</v>
      </c>
      <c r="J370" s="23" t="str">
        <f t="shared" si="11"/>
        <v>OK</v>
      </c>
      <c r="K370" s="23"/>
    </row>
    <row r="371" spans="1:11" x14ac:dyDescent="0.25">
      <c r="A371" s="23" t="s">
        <v>1132</v>
      </c>
      <c r="B371" s="23">
        <v>750</v>
      </c>
      <c r="C371" s="23">
        <v>751</v>
      </c>
      <c r="D371" s="23" t="s">
        <v>374</v>
      </c>
      <c r="E371" s="24">
        <v>928.31</v>
      </c>
      <c r="F371" s="25">
        <v>48</v>
      </c>
      <c r="G371" s="24">
        <f t="shared" si="10"/>
        <v>19.339791666666667</v>
      </c>
      <c r="H371" s="23" t="s">
        <v>759</v>
      </c>
      <c r="I371" s="23" t="s">
        <v>760</v>
      </c>
      <c r="J371" s="23" t="str">
        <f t="shared" si="11"/>
        <v>OK</v>
      </c>
      <c r="K371" s="23"/>
    </row>
    <row r="372" spans="1:11" x14ac:dyDescent="0.25">
      <c r="A372" s="23" t="s">
        <v>1133</v>
      </c>
      <c r="B372" s="23">
        <v>752</v>
      </c>
      <c r="C372" s="23">
        <v>753</v>
      </c>
      <c r="D372" s="23" t="s">
        <v>375</v>
      </c>
      <c r="E372" s="24">
        <v>33</v>
      </c>
      <c r="F372" s="25">
        <v>30</v>
      </c>
      <c r="G372" s="24">
        <f t="shared" si="10"/>
        <v>1.1000000000000001</v>
      </c>
      <c r="H372" s="23" t="s">
        <v>759</v>
      </c>
      <c r="I372" s="23" t="s">
        <v>760</v>
      </c>
      <c r="J372" s="23" t="str">
        <f t="shared" si="11"/>
        <v>OK</v>
      </c>
      <c r="K372" s="23"/>
    </row>
    <row r="373" spans="1:11" x14ac:dyDescent="0.25">
      <c r="A373" s="23" t="s">
        <v>1134</v>
      </c>
      <c r="B373" s="23">
        <v>754</v>
      </c>
      <c r="C373" s="23">
        <v>755</v>
      </c>
      <c r="D373" s="23" t="s">
        <v>376</v>
      </c>
      <c r="E373" s="24">
        <v>27.54</v>
      </c>
      <c r="F373" s="25">
        <v>150</v>
      </c>
      <c r="G373" s="24">
        <f t="shared" si="10"/>
        <v>0.18359999999999999</v>
      </c>
      <c r="H373" s="23" t="s">
        <v>759</v>
      </c>
      <c r="I373" s="23" t="s">
        <v>760</v>
      </c>
      <c r="J373" s="23" t="str">
        <f t="shared" si="11"/>
        <v>OK</v>
      </c>
      <c r="K373" s="23"/>
    </row>
    <row r="374" spans="1:11" ht="26.4" x14ac:dyDescent="0.25">
      <c r="A374" s="23" t="s">
        <v>1135</v>
      </c>
      <c r="B374" s="23">
        <v>756</v>
      </c>
      <c r="C374" s="23">
        <v>757</v>
      </c>
      <c r="D374" s="23" t="s">
        <v>377</v>
      </c>
      <c r="E374" s="24">
        <v>91.75</v>
      </c>
      <c r="F374" s="25">
        <v>20</v>
      </c>
      <c r="G374" s="24">
        <f t="shared" si="10"/>
        <v>4.5875000000000004</v>
      </c>
      <c r="H374" s="23" t="s">
        <v>759</v>
      </c>
      <c r="I374" s="23" t="s">
        <v>760</v>
      </c>
      <c r="J374" s="23" t="str">
        <f t="shared" si="11"/>
        <v>OK</v>
      </c>
      <c r="K374" s="23"/>
    </row>
    <row r="375" spans="1:11" x14ac:dyDescent="0.25">
      <c r="A375" s="23" t="s">
        <v>1136</v>
      </c>
      <c r="B375" s="23">
        <v>758</v>
      </c>
      <c r="C375" s="23">
        <v>759</v>
      </c>
      <c r="D375" s="23" t="s">
        <v>378</v>
      </c>
      <c r="E375" s="24">
        <v>581.34</v>
      </c>
      <c r="F375" s="25">
        <v>1410</v>
      </c>
      <c r="G375" s="24">
        <f t="shared" si="10"/>
        <v>0.41229787234042553</v>
      </c>
      <c r="H375" s="23" t="s">
        <v>759</v>
      </c>
      <c r="I375" s="23" t="s">
        <v>760</v>
      </c>
      <c r="J375" s="23" t="str">
        <f t="shared" si="11"/>
        <v>OK</v>
      </c>
      <c r="K375" s="23"/>
    </row>
    <row r="376" spans="1:11" x14ac:dyDescent="0.25">
      <c r="A376" s="23" t="s">
        <v>1137</v>
      </c>
      <c r="B376" s="23">
        <v>760</v>
      </c>
      <c r="C376" s="23">
        <v>761</v>
      </c>
      <c r="D376" s="23" t="s">
        <v>379</v>
      </c>
      <c r="E376" s="24">
        <v>2643.84</v>
      </c>
      <c r="F376" s="25">
        <v>3060</v>
      </c>
      <c r="G376" s="24">
        <f t="shared" si="10"/>
        <v>0.8640000000000001</v>
      </c>
      <c r="H376" s="23" t="s">
        <v>759</v>
      </c>
      <c r="I376" s="23" t="s">
        <v>760</v>
      </c>
      <c r="J376" s="23" t="str">
        <f t="shared" si="11"/>
        <v>OK</v>
      </c>
      <c r="K376" s="23"/>
    </row>
    <row r="377" spans="1:11" x14ac:dyDescent="0.25">
      <c r="A377" s="23" t="s">
        <v>1138</v>
      </c>
      <c r="B377" s="23">
        <v>762</v>
      </c>
      <c r="C377" s="23">
        <v>763</v>
      </c>
      <c r="D377" s="23" t="s">
        <v>380</v>
      </c>
      <c r="E377" s="24">
        <v>941.94</v>
      </c>
      <c r="F377" s="25">
        <v>75</v>
      </c>
      <c r="G377" s="24">
        <f t="shared" si="10"/>
        <v>12.559200000000001</v>
      </c>
      <c r="H377" s="23" t="s">
        <v>759</v>
      </c>
      <c r="I377" s="23" t="s">
        <v>760</v>
      </c>
      <c r="J377" s="23" t="str">
        <f t="shared" si="11"/>
        <v>OK</v>
      </c>
      <c r="K377" s="23"/>
    </row>
    <row r="378" spans="1:11" x14ac:dyDescent="0.25">
      <c r="A378" s="23" t="s">
        <v>1139</v>
      </c>
      <c r="B378" s="23">
        <v>764</v>
      </c>
      <c r="C378" s="23">
        <v>765</v>
      </c>
      <c r="D378" s="23" t="s">
        <v>381</v>
      </c>
      <c r="E378" s="24">
        <v>341.82</v>
      </c>
      <c r="F378" s="25">
        <v>15</v>
      </c>
      <c r="G378" s="24">
        <f t="shared" si="10"/>
        <v>22.788</v>
      </c>
      <c r="H378" s="23" t="s">
        <v>759</v>
      </c>
      <c r="I378" s="23" t="s">
        <v>760</v>
      </c>
      <c r="J378" s="23" t="str">
        <f t="shared" si="11"/>
        <v>OK</v>
      </c>
      <c r="K378" s="23"/>
    </row>
    <row r="379" spans="1:11" x14ac:dyDescent="0.25">
      <c r="A379" s="23" t="s">
        <v>1140</v>
      </c>
      <c r="B379" s="23">
        <v>766</v>
      </c>
      <c r="C379" s="23">
        <v>767</v>
      </c>
      <c r="D379" s="23" t="s">
        <v>382</v>
      </c>
      <c r="E379" s="24">
        <v>1036.17</v>
      </c>
      <c r="F379" s="25">
        <v>150</v>
      </c>
      <c r="G379" s="24">
        <f t="shared" si="10"/>
        <v>6.9078000000000008</v>
      </c>
      <c r="H379" s="23" t="s">
        <v>759</v>
      </c>
      <c r="I379" s="23" t="s">
        <v>760</v>
      </c>
      <c r="J379" s="23" t="str">
        <f t="shared" si="11"/>
        <v>OK</v>
      </c>
      <c r="K379" s="23"/>
    </row>
    <row r="380" spans="1:11" x14ac:dyDescent="0.25">
      <c r="A380" s="23" t="s">
        <v>1141</v>
      </c>
      <c r="B380" s="23">
        <v>768</v>
      </c>
      <c r="C380" s="23">
        <v>769</v>
      </c>
      <c r="D380" s="23" t="s">
        <v>383</v>
      </c>
      <c r="E380" s="24">
        <v>1037.8800000000001</v>
      </c>
      <c r="F380" s="25">
        <v>15</v>
      </c>
      <c r="G380" s="24">
        <f t="shared" si="10"/>
        <v>69.192000000000007</v>
      </c>
      <c r="H380" s="23" t="s">
        <v>759</v>
      </c>
      <c r="I380" s="23" t="s">
        <v>760</v>
      </c>
      <c r="J380" s="23" t="str">
        <f t="shared" si="11"/>
        <v>OK</v>
      </c>
      <c r="K380" s="23"/>
    </row>
    <row r="381" spans="1:11" x14ac:dyDescent="0.25">
      <c r="A381" s="23" t="s">
        <v>1142</v>
      </c>
      <c r="B381" s="23">
        <v>770</v>
      </c>
      <c r="C381" s="23">
        <v>771</v>
      </c>
      <c r="D381" s="23" t="s">
        <v>384</v>
      </c>
      <c r="E381" s="24">
        <v>837.67</v>
      </c>
      <c r="F381" s="25">
        <v>450</v>
      </c>
      <c r="G381" s="24">
        <f t="shared" si="10"/>
        <v>1.8614888888888887</v>
      </c>
      <c r="H381" s="23" t="s">
        <v>759</v>
      </c>
      <c r="I381" s="23" t="s">
        <v>760</v>
      </c>
      <c r="J381" s="23" t="str">
        <f t="shared" si="11"/>
        <v>OK</v>
      </c>
      <c r="K381" s="23"/>
    </row>
    <row r="382" spans="1:11" x14ac:dyDescent="0.25">
      <c r="A382" s="23" t="s">
        <v>1143</v>
      </c>
      <c r="B382" s="23">
        <v>772</v>
      </c>
      <c r="C382" s="23">
        <v>773</v>
      </c>
      <c r="D382" s="23" t="s">
        <v>385</v>
      </c>
      <c r="E382" s="24">
        <v>378000</v>
      </c>
      <c r="F382" s="25">
        <v>90</v>
      </c>
      <c r="G382" s="24">
        <f t="shared" si="10"/>
        <v>4200</v>
      </c>
      <c r="H382" s="23" t="s">
        <v>759</v>
      </c>
      <c r="I382" s="23" t="s">
        <v>760</v>
      </c>
      <c r="J382" s="23" t="str">
        <f t="shared" si="11"/>
        <v>OK</v>
      </c>
      <c r="K382" s="23"/>
    </row>
    <row r="383" spans="1:11" x14ac:dyDescent="0.25">
      <c r="A383" s="23" t="s">
        <v>1144</v>
      </c>
      <c r="B383" s="23">
        <v>774</v>
      </c>
      <c r="C383" s="23">
        <v>775</v>
      </c>
      <c r="D383" s="23" t="s">
        <v>386</v>
      </c>
      <c r="E383" s="24">
        <v>92520</v>
      </c>
      <c r="F383" s="25">
        <v>26</v>
      </c>
      <c r="G383" s="24">
        <f t="shared" si="10"/>
        <v>3558.4615384615386</v>
      </c>
      <c r="H383" s="23" t="s">
        <v>759</v>
      </c>
      <c r="I383" s="23" t="s">
        <v>760</v>
      </c>
      <c r="J383" s="23" t="str">
        <f t="shared" si="11"/>
        <v>OK</v>
      </c>
      <c r="K383" s="23"/>
    </row>
    <row r="384" spans="1:11" ht="26.4" x14ac:dyDescent="0.25">
      <c r="A384" s="23" t="s">
        <v>1145</v>
      </c>
      <c r="B384" s="23">
        <v>776</v>
      </c>
      <c r="C384" s="23">
        <v>777</v>
      </c>
      <c r="D384" s="23" t="s">
        <v>387</v>
      </c>
      <c r="E384" s="24">
        <v>15365.41</v>
      </c>
      <c r="F384" s="25">
        <v>5</v>
      </c>
      <c r="G384" s="24">
        <f t="shared" si="10"/>
        <v>3073.0819999999999</v>
      </c>
      <c r="H384" s="23" t="s">
        <v>759</v>
      </c>
      <c r="I384" s="23" t="s">
        <v>760</v>
      </c>
      <c r="J384" s="23" t="str">
        <f t="shared" si="11"/>
        <v>OK</v>
      </c>
      <c r="K384" s="23"/>
    </row>
    <row r="385" spans="1:11" ht="26.4" x14ac:dyDescent="0.25">
      <c r="A385" s="23" t="s">
        <v>1146</v>
      </c>
      <c r="B385" s="23">
        <v>778</v>
      </c>
      <c r="C385" s="23">
        <v>779</v>
      </c>
      <c r="D385" s="23" t="s">
        <v>388</v>
      </c>
      <c r="E385" s="24">
        <v>15365.41</v>
      </c>
      <c r="F385" s="25">
        <v>5</v>
      </c>
      <c r="G385" s="24">
        <f t="shared" si="10"/>
        <v>3073.0819999999999</v>
      </c>
      <c r="H385" s="23" t="s">
        <v>759</v>
      </c>
      <c r="I385" s="23" t="s">
        <v>760</v>
      </c>
      <c r="J385" s="23" t="str">
        <f t="shared" si="11"/>
        <v>OK</v>
      </c>
      <c r="K385" s="23"/>
    </row>
    <row r="386" spans="1:11" x14ac:dyDescent="0.25">
      <c r="A386" s="23" t="s">
        <v>1147</v>
      </c>
      <c r="B386" s="23">
        <v>780</v>
      </c>
      <c r="C386" s="23">
        <v>781</v>
      </c>
      <c r="D386" s="23" t="s">
        <v>389</v>
      </c>
      <c r="E386" s="24">
        <v>834.18</v>
      </c>
      <c r="F386" s="25">
        <v>50</v>
      </c>
      <c r="G386" s="24">
        <f t="shared" ref="G386:G449" si="12">IFERROR(E386/F386,"")</f>
        <v>16.683599999999998</v>
      </c>
      <c r="H386" s="23" t="s">
        <v>759</v>
      </c>
      <c r="I386" s="23" t="s">
        <v>760</v>
      </c>
      <c r="J386" s="23" t="str">
        <f t="shared" ref="J386:J449" si="13">IF(OR(E386="",F386=""),"LIPSESC DATE",IF(F386=0,"CANTITATE 0","OK"))</f>
        <v>OK</v>
      </c>
      <c r="K386" s="23"/>
    </row>
    <row r="387" spans="1:11" x14ac:dyDescent="0.25">
      <c r="A387" s="23" t="s">
        <v>1148</v>
      </c>
      <c r="B387" s="23">
        <v>782</v>
      </c>
      <c r="C387" s="23">
        <v>783</v>
      </c>
      <c r="D387" s="23" t="s">
        <v>390</v>
      </c>
      <c r="E387" s="24">
        <v>5886.06</v>
      </c>
      <c r="F387" s="25">
        <v>148</v>
      </c>
      <c r="G387" s="24">
        <f t="shared" si="12"/>
        <v>39.770675675675676</v>
      </c>
      <c r="H387" s="23" t="s">
        <v>759</v>
      </c>
      <c r="I387" s="23" t="s">
        <v>760</v>
      </c>
      <c r="J387" s="23" t="str">
        <f t="shared" si="13"/>
        <v>OK</v>
      </c>
      <c r="K387" s="23"/>
    </row>
    <row r="388" spans="1:11" x14ac:dyDescent="0.25">
      <c r="A388" s="23" t="s">
        <v>1149</v>
      </c>
      <c r="B388" s="23">
        <v>784</v>
      </c>
      <c r="C388" s="23">
        <v>785</v>
      </c>
      <c r="D388" s="23" t="s">
        <v>391</v>
      </c>
      <c r="E388" s="24">
        <v>618.94000000000005</v>
      </c>
      <c r="F388" s="25">
        <v>70</v>
      </c>
      <c r="G388" s="24">
        <f t="shared" si="12"/>
        <v>8.8420000000000005</v>
      </c>
      <c r="H388" s="23" t="s">
        <v>759</v>
      </c>
      <c r="I388" s="23" t="s">
        <v>760</v>
      </c>
      <c r="J388" s="23" t="str">
        <f t="shared" si="13"/>
        <v>OK</v>
      </c>
      <c r="K388" s="23"/>
    </row>
    <row r="389" spans="1:11" x14ac:dyDescent="0.25">
      <c r="A389" s="23" t="s">
        <v>1150</v>
      </c>
      <c r="B389" s="23">
        <v>786</v>
      </c>
      <c r="C389" s="23">
        <v>787</v>
      </c>
      <c r="D389" s="23" t="s">
        <v>392</v>
      </c>
      <c r="E389" s="24">
        <v>20422.580000000002</v>
      </c>
      <c r="F389" s="25">
        <v>910</v>
      </c>
      <c r="G389" s="24">
        <f t="shared" si="12"/>
        <v>22.442395604395607</v>
      </c>
      <c r="H389" s="23" t="s">
        <v>759</v>
      </c>
      <c r="I389" s="23" t="s">
        <v>760</v>
      </c>
      <c r="J389" s="23" t="str">
        <f t="shared" si="13"/>
        <v>OK</v>
      </c>
      <c r="K389" s="23"/>
    </row>
    <row r="390" spans="1:11" x14ac:dyDescent="0.25">
      <c r="A390" s="23" t="s">
        <v>1151</v>
      </c>
      <c r="B390" s="23">
        <v>788</v>
      </c>
      <c r="C390" s="23">
        <v>789</v>
      </c>
      <c r="D390" s="23" t="s">
        <v>393</v>
      </c>
      <c r="E390" s="24">
        <v>104.27</v>
      </c>
      <c r="F390" s="25">
        <v>100</v>
      </c>
      <c r="G390" s="24">
        <f t="shared" si="12"/>
        <v>1.0427</v>
      </c>
      <c r="H390" s="23" t="s">
        <v>759</v>
      </c>
      <c r="I390" s="23" t="s">
        <v>760</v>
      </c>
      <c r="J390" s="23" t="str">
        <f t="shared" si="13"/>
        <v>OK</v>
      </c>
      <c r="K390" s="23"/>
    </row>
    <row r="391" spans="1:11" x14ac:dyDescent="0.25">
      <c r="A391" s="23" t="s">
        <v>1152</v>
      </c>
      <c r="B391" s="23">
        <v>790</v>
      </c>
      <c r="C391" s="23">
        <v>791</v>
      </c>
      <c r="D391" s="23" t="s">
        <v>394</v>
      </c>
      <c r="E391" s="24">
        <v>76.63</v>
      </c>
      <c r="F391" s="25">
        <v>24</v>
      </c>
      <c r="G391" s="24">
        <f t="shared" si="12"/>
        <v>3.1929166666666666</v>
      </c>
      <c r="H391" s="23" t="s">
        <v>759</v>
      </c>
      <c r="I391" s="23" t="s">
        <v>760</v>
      </c>
      <c r="J391" s="23" t="str">
        <f t="shared" si="13"/>
        <v>OK</v>
      </c>
      <c r="K391" s="23"/>
    </row>
    <row r="392" spans="1:11" x14ac:dyDescent="0.25">
      <c r="A392" s="23" t="s">
        <v>1153</v>
      </c>
      <c r="B392" s="23">
        <v>792</v>
      </c>
      <c r="C392" s="23">
        <v>793</v>
      </c>
      <c r="D392" s="23" t="s">
        <v>395</v>
      </c>
      <c r="E392" s="24">
        <v>30871.54</v>
      </c>
      <c r="F392" s="25">
        <v>6305</v>
      </c>
      <c r="G392" s="24">
        <f t="shared" si="12"/>
        <v>4.8963584456780334</v>
      </c>
      <c r="H392" s="23" t="s">
        <v>759</v>
      </c>
      <c r="I392" s="23" t="s">
        <v>760</v>
      </c>
      <c r="J392" s="23" t="str">
        <f t="shared" si="13"/>
        <v>OK</v>
      </c>
      <c r="K392" s="23"/>
    </row>
    <row r="393" spans="1:11" x14ac:dyDescent="0.25">
      <c r="A393" s="23" t="s">
        <v>1154</v>
      </c>
      <c r="B393" s="23">
        <v>794</v>
      </c>
      <c r="C393" s="23">
        <v>795</v>
      </c>
      <c r="D393" s="23" t="s">
        <v>396</v>
      </c>
      <c r="E393" s="24">
        <v>177.92</v>
      </c>
      <c r="F393" s="25">
        <v>60</v>
      </c>
      <c r="G393" s="24">
        <f t="shared" si="12"/>
        <v>2.9653333333333332</v>
      </c>
      <c r="H393" s="23" t="s">
        <v>759</v>
      </c>
      <c r="I393" s="23" t="s">
        <v>760</v>
      </c>
      <c r="J393" s="23" t="str">
        <f t="shared" si="13"/>
        <v>OK</v>
      </c>
      <c r="K393" s="23"/>
    </row>
    <row r="394" spans="1:11" ht="26.4" x14ac:dyDescent="0.25">
      <c r="A394" s="23" t="s">
        <v>1155</v>
      </c>
      <c r="B394" s="23">
        <v>796</v>
      </c>
      <c r="C394" s="23">
        <v>797</v>
      </c>
      <c r="D394" s="23" t="s">
        <v>397</v>
      </c>
      <c r="E394" s="24">
        <v>147.86000000000001</v>
      </c>
      <c r="F394" s="25">
        <v>4</v>
      </c>
      <c r="G394" s="24">
        <f t="shared" si="12"/>
        <v>36.965000000000003</v>
      </c>
      <c r="H394" s="23" t="s">
        <v>759</v>
      </c>
      <c r="I394" s="23" t="s">
        <v>760</v>
      </c>
      <c r="J394" s="23" t="str">
        <f t="shared" si="13"/>
        <v>OK</v>
      </c>
      <c r="K394" s="23"/>
    </row>
    <row r="395" spans="1:11" ht="26.4" x14ac:dyDescent="0.25">
      <c r="A395" s="23" t="s">
        <v>1156</v>
      </c>
      <c r="B395" s="23">
        <v>798</v>
      </c>
      <c r="C395" s="23">
        <v>799</v>
      </c>
      <c r="D395" s="23" t="s">
        <v>398</v>
      </c>
      <c r="E395" s="24">
        <v>192.9</v>
      </c>
      <c r="F395" s="25">
        <v>50</v>
      </c>
      <c r="G395" s="24">
        <f t="shared" si="12"/>
        <v>3.8580000000000001</v>
      </c>
      <c r="H395" s="23" t="s">
        <v>759</v>
      </c>
      <c r="I395" s="23" t="s">
        <v>760</v>
      </c>
      <c r="J395" s="23" t="str">
        <f t="shared" si="13"/>
        <v>OK</v>
      </c>
      <c r="K395" s="23"/>
    </row>
    <row r="396" spans="1:11" x14ac:dyDescent="0.25">
      <c r="A396" s="23" t="s">
        <v>1157</v>
      </c>
      <c r="B396" s="23">
        <v>800</v>
      </c>
      <c r="C396" s="23">
        <v>801</v>
      </c>
      <c r="D396" s="23" t="s">
        <v>399</v>
      </c>
      <c r="E396" s="24">
        <v>471.98</v>
      </c>
      <c r="F396" s="25">
        <v>420</v>
      </c>
      <c r="G396" s="24">
        <f t="shared" si="12"/>
        <v>1.1237619047619047</v>
      </c>
      <c r="H396" s="23" t="s">
        <v>759</v>
      </c>
      <c r="I396" s="23" t="s">
        <v>760</v>
      </c>
      <c r="J396" s="23" t="str">
        <f t="shared" si="13"/>
        <v>OK</v>
      </c>
      <c r="K396" s="23"/>
    </row>
    <row r="397" spans="1:11" x14ac:dyDescent="0.25">
      <c r="A397" s="23" t="s">
        <v>1158</v>
      </c>
      <c r="B397" s="23">
        <v>802</v>
      </c>
      <c r="C397" s="23">
        <v>803</v>
      </c>
      <c r="D397" s="23" t="s">
        <v>400</v>
      </c>
      <c r="E397" s="24">
        <v>72.92</v>
      </c>
      <c r="F397" s="25">
        <v>60</v>
      </c>
      <c r="G397" s="24">
        <f t="shared" si="12"/>
        <v>1.2153333333333334</v>
      </c>
      <c r="H397" s="23" t="s">
        <v>759</v>
      </c>
      <c r="I397" s="23" t="s">
        <v>760</v>
      </c>
      <c r="J397" s="23" t="str">
        <f t="shared" si="13"/>
        <v>OK</v>
      </c>
      <c r="K397" s="23"/>
    </row>
    <row r="398" spans="1:11" x14ac:dyDescent="0.25">
      <c r="A398" s="23" t="s">
        <v>1159</v>
      </c>
      <c r="B398" s="23">
        <v>804</v>
      </c>
      <c r="C398" s="23">
        <v>805</v>
      </c>
      <c r="D398" s="23" t="s">
        <v>401</v>
      </c>
      <c r="E398" s="24">
        <v>1422.57</v>
      </c>
      <c r="F398" s="25">
        <v>40</v>
      </c>
      <c r="G398" s="24">
        <f t="shared" si="12"/>
        <v>35.564250000000001</v>
      </c>
      <c r="H398" s="23" t="s">
        <v>759</v>
      </c>
      <c r="I398" s="23" t="s">
        <v>760</v>
      </c>
      <c r="J398" s="23" t="str">
        <f t="shared" si="13"/>
        <v>OK</v>
      </c>
      <c r="K398" s="23"/>
    </row>
    <row r="399" spans="1:11" x14ac:dyDescent="0.25">
      <c r="A399" s="23" t="s">
        <v>1160</v>
      </c>
      <c r="B399" s="23">
        <v>806</v>
      </c>
      <c r="C399" s="23">
        <v>807</v>
      </c>
      <c r="D399" s="23" t="s">
        <v>402</v>
      </c>
      <c r="E399" s="24">
        <v>1729.75</v>
      </c>
      <c r="F399" s="25">
        <v>360</v>
      </c>
      <c r="G399" s="24">
        <f t="shared" si="12"/>
        <v>4.8048611111111112</v>
      </c>
      <c r="H399" s="23" t="s">
        <v>759</v>
      </c>
      <c r="I399" s="23" t="s">
        <v>760</v>
      </c>
      <c r="J399" s="23" t="str">
        <f t="shared" si="13"/>
        <v>OK</v>
      </c>
      <c r="K399" s="23"/>
    </row>
    <row r="400" spans="1:11" x14ac:dyDescent="0.25">
      <c r="A400" s="23" t="s">
        <v>1161</v>
      </c>
      <c r="B400" s="23">
        <v>808</v>
      </c>
      <c r="C400" s="23">
        <v>809</v>
      </c>
      <c r="D400" s="23" t="s">
        <v>403</v>
      </c>
      <c r="E400" s="24">
        <v>461.73</v>
      </c>
      <c r="F400" s="25">
        <v>50</v>
      </c>
      <c r="G400" s="24">
        <f t="shared" si="12"/>
        <v>9.2346000000000004</v>
      </c>
      <c r="H400" s="23" t="s">
        <v>759</v>
      </c>
      <c r="I400" s="23" t="s">
        <v>760</v>
      </c>
      <c r="J400" s="23" t="str">
        <f t="shared" si="13"/>
        <v>OK</v>
      </c>
      <c r="K400" s="23"/>
    </row>
    <row r="401" spans="1:11" x14ac:dyDescent="0.25">
      <c r="A401" s="23" t="s">
        <v>1162</v>
      </c>
      <c r="B401" s="23">
        <v>810</v>
      </c>
      <c r="C401" s="23">
        <v>811</v>
      </c>
      <c r="D401" s="23" t="s">
        <v>404</v>
      </c>
      <c r="E401" s="24">
        <v>51.96</v>
      </c>
      <c r="F401" s="25">
        <v>10</v>
      </c>
      <c r="G401" s="24">
        <f t="shared" si="12"/>
        <v>5.1959999999999997</v>
      </c>
      <c r="H401" s="23" t="s">
        <v>759</v>
      </c>
      <c r="I401" s="23" t="s">
        <v>760</v>
      </c>
      <c r="J401" s="23" t="str">
        <f t="shared" si="13"/>
        <v>OK</v>
      </c>
      <c r="K401" s="23"/>
    </row>
    <row r="402" spans="1:11" x14ac:dyDescent="0.25">
      <c r="A402" s="23" t="s">
        <v>1163</v>
      </c>
      <c r="B402" s="23">
        <v>812</v>
      </c>
      <c r="C402" s="23">
        <v>813</v>
      </c>
      <c r="D402" s="23" t="s">
        <v>405</v>
      </c>
      <c r="E402" s="24">
        <v>385.35</v>
      </c>
      <c r="F402" s="25">
        <v>700</v>
      </c>
      <c r="G402" s="24">
        <f t="shared" si="12"/>
        <v>0.55049999999999999</v>
      </c>
      <c r="H402" s="23" t="s">
        <v>759</v>
      </c>
      <c r="I402" s="23" t="s">
        <v>760</v>
      </c>
      <c r="J402" s="23" t="str">
        <f t="shared" si="13"/>
        <v>OK</v>
      </c>
      <c r="K402" s="23"/>
    </row>
    <row r="403" spans="1:11" x14ac:dyDescent="0.25">
      <c r="A403" s="23" t="s">
        <v>1164</v>
      </c>
      <c r="B403" s="23">
        <v>814</v>
      </c>
      <c r="C403" s="23">
        <v>815</v>
      </c>
      <c r="D403" s="23" t="s">
        <v>406</v>
      </c>
      <c r="E403" s="24">
        <v>220.2</v>
      </c>
      <c r="F403" s="25">
        <v>400</v>
      </c>
      <c r="G403" s="24">
        <f t="shared" si="12"/>
        <v>0.55049999999999999</v>
      </c>
      <c r="H403" s="23" t="s">
        <v>759</v>
      </c>
      <c r="I403" s="23" t="s">
        <v>760</v>
      </c>
      <c r="J403" s="23" t="str">
        <f t="shared" si="13"/>
        <v>OK</v>
      </c>
      <c r="K403" s="23"/>
    </row>
    <row r="404" spans="1:11" x14ac:dyDescent="0.25">
      <c r="A404" s="23" t="s">
        <v>1165</v>
      </c>
      <c r="B404" s="23">
        <v>816</v>
      </c>
      <c r="C404" s="23">
        <v>817</v>
      </c>
      <c r="D404" s="23" t="s">
        <v>407</v>
      </c>
      <c r="E404" s="24">
        <v>660.6</v>
      </c>
      <c r="F404" s="25">
        <v>1200</v>
      </c>
      <c r="G404" s="24">
        <f t="shared" si="12"/>
        <v>0.55049999999999999</v>
      </c>
      <c r="H404" s="23" t="s">
        <v>759</v>
      </c>
      <c r="I404" s="23" t="s">
        <v>760</v>
      </c>
      <c r="J404" s="23" t="str">
        <f t="shared" si="13"/>
        <v>OK</v>
      </c>
      <c r="K404" s="23"/>
    </row>
    <row r="405" spans="1:11" x14ac:dyDescent="0.25">
      <c r="A405" s="23" t="s">
        <v>1166</v>
      </c>
      <c r="B405" s="23">
        <v>818</v>
      </c>
      <c r="C405" s="23">
        <v>819</v>
      </c>
      <c r="D405" s="23" t="s">
        <v>408</v>
      </c>
      <c r="E405" s="24">
        <v>330.3</v>
      </c>
      <c r="F405" s="25">
        <v>600</v>
      </c>
      <c r="G405" s="24">
        <f t="shared" si="12"/>
        <v>0.55049999999999999</v>
      </c>
      <c r="H405" s="23" t="s">
        <v>759</v>
      </c>
      <c r="I405" s="23" t="s">
        <v>760</v>
      </c>
      <c r="J405" s="23" t="str">
        <f t="shared" si="13"/>
        <v>OK</v>
      </c>
      <c r="K405" s="23"/>
    </row>
    <row r="406" spans="1:11" x14ac:dyDescent="0.25">
      <c r="A406" s="23" t="s">
        <v>1167</v>
      </c>
      <c r="B406" s="23">
        <v>820</v>
      </c>
      <c r="C406" s="23">
        <v>821</v>
      </c>
      <c r="D406" s="23" t="s">
        <v>409</v>
      </c>
      <c r="E406" s="24">
        <v>55.05</v>
      </c>
      <c r="F406" s="25">
        <v>100</v>
      </c>
      <c r="G406" s="24">
        <f t="shared" si="12"/>
        <v>0.55049999999999999</v>
      </c>
      <c r="H406" s="23" t="s">
        <v>759</v>
      </c>
      <c r="I406" s="23" t="s">
        <v>760</v>
      </c>
      <c r="J406" s="23" t="str">
        <f t="shared" si="13"/>
        <v>OK</v>
      </c>
      <c r="K406" s="23"/>
    </row>
    <row r="407" spans="1:11" x14ac:dyDescent="0.25">
      <c r="A407" s="23" t="s">
        <v>1168</v>
      </c>
      <c r="B407" s="23">
        <v>822</v>
      </c>
      <c r="C407" s="23">
        <v>823</v>
      </c>
      <c r="D407" s="23" t="s">
        <v>410</v>
      </c>
      <c r="E407" s="24">
        <v>550.5</v>
      </c>
      <c r="F407" s="25">
        <v>1000</v>
      </c>
      <c r="G407" s="24">
        <f t="shared" si="12"/>
        <v>0.55049999999999999</v>
      </c>
      <c r="H407" s="23" t="s">
        <v>759</v>
      </c>
      <c r="I407" s="23" t="s">
        <v>760</v>
      </c>
      <c r="J407" s="23" t="str">
        <f t="shared" si="13"/>
        <v>OK</v>
      </c>
      <c r="K407" s="23"/>
    </row>
    <row r="408" spans="1:11" ht="26.4" x14ac:dyDescent="0.25">
      <c r="A408" s="23" t="s">
        <v>1169</v>
      </c>
      <c r="B408" s="23">
        <v>824</v>
      </c>
      <c r="C408" s="23">
        <v>825</v>
      </c>
      <c r="D408" s="23" t="s">
        <v>411</v>
      </c>
      <c r="E408" s="24">
        <v>324</v>
      </c>
      <c r="F408" s="25">
        <v>2500</v>
      </c>
      <c r="G408" s="24">
        <f t="shared" si="12"/>
        <v>0.12959999999999999</v>
      </c>
      <c r="H408" s="23" t="s">
        <v>759</v>
      </c>
      <c r="I408" s="23" t="s">
        <v>760</v>
      </c>
      <c r="J408" s="23" t="str">
        <f t="shared" si="13"/>
        <v>OK</v>
      </c>
      <c r="K408" s="23"/>
    </row>
    <row r="409" spans="1:11" ht="26.4" x14ac:dyDescent="0.25">
      <c r="A409" s="23" t="s">
        <v>1170</v>
      </c>
      <c r="B409" s="23">
        <v>826</v>
      </c>
      <c r="C409" s="23">
        <v>827</v>
      </c>
      <c r="D409" s="23" t="s">
        <v>412</v>
      </c>
      <c r="E409" s="24">
        <v>291.83</v>
      </c>
      <c r="F409" s="25">
        <v>308</v>
      </c>
      <c r="G409" s="24">
        <f t="shared" si="12"/>
        <v>0.9474999999999999</v>
      </c>
      <c r="H409" s="23" t="s">
        <v>759</v>
      </c>
      <c r="I409" s="23" t="s">
        <v>760</v>
      </c>
      <c r="J409" s="23" t="str">
        <f t="shared" si="13"/>
        <v>OK</v>
      </c>
      <c r="K409" s="23"/>
    </row>
    <row r="410" spans="1:11" x14ac:dyDescent="0.25">
      <c r="A410" s="23" t="s">
        <v>1171</v>
      </c>
      <c r="B410" s="23">
        <v>828</v>
      </c>
      <c r="C410" s="23">
        <v>829</v>
      </c>
      <c r="D410" s="23" t="s">
        <v>413</v>
      </c>
      <c r="E410" s="24">
        <v>338.54</v>
      </c>
      <c r="F410" s="25">
        <v>364</v>
      </c>
      <c r="G410" s="24">
        <f t="shared" si="12"/>
        <v>0.93005494505494513</v>
      </c>
      <c r="H410" s="23" t="s">
        <v>759</v>
      </c>
      <c r="I410" s="23" t="s">
        <v>760</v>
      </c>
      <c r="J410" s="23" t="str">
        <f t="shared" si="13"/>
        <v>OK</v>
      </c>
      <c r="K410" s="23"/>
    </row>
    <row r="411" spans="1:11" x14ac:dyDescent="0.25">
      <c r="A411" s="23" t="s">
        <v>1172</v>
      </c>
      <c r="B411" s="23">
        <v>830</v>
      </c>
      <c r="C411" s="23">
        <v>831</v>
      </c>
      <c r="D411" s="23" t="s">
        <v>414</v>
      </c>
      <c r="E411" s="24">
        <v>661.07</v>
      </c>
      <c r="F411" s="25">
        <v>200</v>
      </c>
      <c r="G411" s="24">
        <f t="shared" si="12"/>
        <v>3.3053500000000002</v>
      </c>
      <c r="H411" s="23" t="s">
        <v>759</v>
      </c>
      <c r="I411" s="23" t="s">
        <v>760</v>
      </c>
      <c r="J411" s="23" t="str">
        <f t="shared" si="13"/>
        <v>OK</v>
      </c>
      <c r="K411" s="23"/>
    </row>
    <row r="412" spans="1:11" x14ac:dyDescent="0.25">
      <c r="A412" s="23" t="s">
        <v>1173</v>
      </c>
      <c r="B412" s="23">
        <v>832</v>
      </c>
      <c r="C412" s="23">
        <v>833</v>
      </c>
      <c r="D412" s="23" t="s">
        <v>415</v>
      </c>
      <c r="E412" s="24">
        <v>993.46</v>
      </c>
      <c r="F412" s="25">
        <v>20</v>
      </c>
      <c r="G412" s="24">
        <f t="shared" si="12"/>
        <v>49.673000000000002</v>
      </c>
      <c r="H412" s="23" t="s">
        <v>759</v>
      </c>
      <c r="I412" s="23" t="s">
        <v>760</v>
      </c>
      <c r="J412" s="23" t="str">
        <f t="shared" si="13"/>
        <v>OK</v>
      </c>
      <c r="K412" s="23"/>
    </row>
    <row r="413" spans="1:11" x14ac:dyDescent="0.25">
      <c r="A413" s="23" t="s">
        <v>1174</v>
      </c>
      <c r="B413" s="23">
        <v>834</v>
      </c>
      <c r="C413" s="23">
        <v>835</v>
      </c>
      <c r="D413" s="23" t="s">
        <v>1175</v>
      </c>
      <c r="E413" s="24">
        <v>2742.18</v>
      </c>
      <c r="F413" s="25">
        <v>150</v>
      </c>
      <c r="G413" s="24">
        <f t="shared" si="12"/>
        <v>18.281199999999998</v>
      </c>
      <c r="H413" s="23" t="s">
        <v>759</v>
      </c>
      <c r="I413" s="23" t="s">
        <v>760</v>
      </c>
      <c r="J413" s="23" t="str">
        <f t="shared" si="13"/>
        <v>OK</v>
      </c>
      <c r="K413" s="23"/>
    </row>
    <row r="414" spans="1:11" x14ac:dyDescent="0.25">
      <c r="A414" s="23" t="s">
        <v>1176</v>
      </c>
      <c r="B414" s="23">
        <v>836</v>
      </c>
      <c r="C414" s="23">
        <v>837</v>
      </c>
      <c r="D414" s="23" t="s">
        <v>417</v>
      </c>
      <c r="E414" s="24">
        <v>928.8</v>
      </c>
      <c r="F414" s="25">
        <v>720</v>
      </c>
      <c r="G414" s="24">
        <f t="shared" si="12"/>
        <v>1.29</v>
      </c>
      <c r="H414" s="23" t="s">
        <v>759</v>
      </c>
      <c r="I414" s="23" t="s">
        <v>760</v>
      </c>
      <c r="J414" s="23" t="str">
        <f t="shared" si="13"/>
        <v>OK</v>
      </c>
      <c r="K414" s="23"/>
    </row>
    <row r="415" spans="1:11" x14ac:dyDescent="0.25">
      <c r="A415" s="23" t="s">
        <v>1177</v>
      </c>
      <c r="B415" s="23">
        <v>838</v>
      </c>
      <c r="C415" s="23">
        <v>839</v>
      </c>
      <c r="D415" s="23" t="s">
        <v>418</v>
      </c>
      <c r="E415" s="24">
        <v>712.24</v>
      </c>
      <c r="F415" s="25">
        <v>20</v>
      </c>
      <c r="G415" s="24">
        <f t="shared" si="12"/>
        <v>35.612000000000002</v>
      </c>
      <c r="H415" s="23" t="s">
        <v>759</v>
      </c>
      <c r="I415" s="23" t="s">
        <v>760</v>
      </c>
      <c r="J415" s="23" t="str">
        <f t="shared" si="13"/>
        <v>OK</v>
      </c>
      <c r="K415" s="23"/>
    </row>
    <row r="416" spans="1:11" x14ac:dyDescent="0.25">
      <c r="A416" s="23" t="s">
        <v>1178</v>
      </c>
      <c r="B416" s="23">
        <v>840</v>
      </c>
      <c r="C416" s="23">
        <v>841</v>
      </c>
      <c r="D416" s="23" t="s">
        <v>419</v>
      </c>
      <c r="E416" s="24">
        <v>1340.5</v>
      </c>
      <c r="F416" s="25">
        <v>107</v>
      </c>
      <c r="G416" s="24">
        <f t="shared" si="12"/>
        <v>12.528037383177571</v>
      </c>
      <c r="H416" s="23" t="s">
        <v>759</v>
      </c>
      <c r="I416" s="23" t="s">
        <v>760</v>
      </c>
      <c r="J416" s="23" t="str">
        <f t="shared" si="13"/>
        <v>OK</v>
      </c>
      <c r="K416" s="23"/>
    </row>
    <row r="417" spans="1:11" x14ac:dyDescent="0.25">
      <c r="A417" s="23" t="s">
        <v>1179</v>
      </c>
      <c r="B417" s="23">
        <v>842</v>
      </c>
      <c r="C417" s="23">
        <v>843</v>
      </c>
      <c r="D417" s="23" t="s">
        <v>420</v>
      </c>
      <c r="E417" s="24">
        <v>277.56</v>
      </c>
      <c r="F417" s="25">
        <v>100</v>
      </c>
      <c r="G417" s="24">
        <f t="shared" si="12"/>
        <v>2.7755999999999998</v>
      </c>
      <c r="H417" s="23" t="s">
        <v>759</v>
      </c>
      <c r="I417" s="23" t="s">
        <v>760</v>
      </c>
      <c r="J417" s="23" t="str">
        <f t="shared" si="13"/>
        <v>OK</v>
      </c>
      <c r="K417" s="23"/>
    </row>
    <row r="418" spans="1:11" x14ac:dyDescent="0.25">
      <c r="A418" s="23" t="s">
        <v>1180</v>
      </c>
      <c r="B418" s="23">
        <v>844</v>
      </c>
      <c r="C418" s="23">
        <v>845</v>
      </c>
      <c r="D418" s="23" t="s">
        <v>421</v>
      </c>
      <c r="E418" s="24">
        <v>161.41999999999999</v>
      </c>
      <c r="F418" s="25">
        <v>120</v>
      </c>
      <c r="G418" s="24">
        <f t="shared" si="12"/>
        <v>1.3451666666666666</v>
      </c>
      <c r="H418" s="23" t="s">
        <v>759</v>
      </c>
      <c r="I418" s="23" t="s">
        <v>760</v>
      </c>
      <c r="J418" s="23" t="str">
        <f t="shared" si="13"/>
        <v>OK</v>
      </c>
      <c r="K418" s="23"/>
    </row>
    <row r="419" spans="1:11" x14ac:dyDescent="0.25">
      <c r="A419" s="23" t="s">
        <v>1181</v>
      </c>
      <c r="B419" s="23">
        <v>846</v>
      </c>
      <c r="C419" s="23">
        <v>847</v>
      </c>
      <c r="D419" s="23" t="s">
        <v>422</v>
      </c>
      <c r="E419" s="24">
        <v>403.28</v>
      </c>
      <c r="F419" s="25">
        <v>590</v>
      </c>
      <c r="G419" s="24">
        <f t="shared" si="12"/>
        <v>0.68352542372881353</v>
      </c>
      <c r="H419" s="23" t="s">
        <v>759</v>
      </c>
      <c r="I419" s="23" t="s">
        <v>760</v>
      </c>
      <c r="J419" s="23" t="str">
        <f t="shared" si="13"/>
        <v>OK</v>
      </c>
      <c r="K419" s="23"/>
    </row>
    <row r="420" spans="1:11" x14ac:dyDescent="0.25">
      <c r="A420" s="23" t="s">
        <v>1182</v>
      </c>
      <c r="B420" s="23">
        <v>848</v>
      </c>
      <c r="C420" s="23">
        <v>849</v>
      </c>
      <c r="D420" s="23" t="s">
        <v>423</v>
      </c>
      <c r="E420" s="24">
        <v>3963.13</v>
      </c>
      <c r="F420" s="25">
        <v>68</v>
      </c>
      <c r="G420" s="24">
        <f t="shared" si="12"/>
        <v>58.281323529411765</v>
      </c>
      <c r="H420" s="23" t="s">
        <v>759</v>
      </c>
      <c r="I420" s="23" t="s">
        <v>760</v>
      </c>
      <c r="J420" s="23" t="str">
        <f t="shared" si="13"/>
        <v>OK</v>
      </c>
      <c r="K420" s="23"/>
    </row>
    <row r="421" spans="1:11" x14ac:dyDescent="0.25">
      <c r="A421" s="23" t="s">
        <v>1183</v>
      </c>
      <c r="B421" s="23">
        <v>850</v>
      </c>
      <c r="C421" s="23">
        <v>851</v>
      </c>
      <c r="D421" s="23" t="s">
        <v>424</v>
      </c>
      <c r="E421" s="24">
        <v>57906.82</v>
      </c>
      <c r="F421" s="25">
        <v>12168</v>
      </c>
      <c r="G421" s="24">
        <f t="shared" si="12"/>
        <v>4.7589431295200528</v>
      </c>
      <c r="H421" s="23" t="s">
        <v>759</v>
      </c>
      <c r="I421" s="23" t="s">
        <v>760</v>
      </c>
      <c r="J421" s="23" t="str">
        <f t="shared" si="13"/>
        <v>OK</v>
      </c>
      <c r="K421" s="23"/>
    </row>
    <row r="422" spans="1:11" x14ac:dyDescent="0.25">
      <c r="A422" s="23" t="s">
        <v>1184</v>
      </c>
      <c r="B422" s="23">
        <v>852</v>
      </c>
      <c r="C422" s="23">
        <v>853</v>
      </c>
      <c r="D422" s="23" t="s">
        <v>425</v>
      </c>
      <c r="E422" s="24">
        <v>138.24</v>
      </c>
      <c r="F422" s="25">
        <v>20</v>
      </c>
      <c r="G422" s="24">
        <f t="shared" si="12"/>
        <v>6.9120000000000008</v>
      </c>
      <c r="H422" s="23" t="s">
        <v>759</v>
      </c>
      <c r="I422" s="23" t="s">
        <v>760</v>
      </c>
      <c r="J422" s="23" t="str">
        <f t="shared" si="13"/>
        <v>OK</v>
      </c>
      <c r="K422" s="23"/>
    </row>
    <row r="423" spans="1:11" x14ac:dyDescent="0.25">
      <c r="A423" s="23" t="s">
        <v>1185</v>
      </c>
      <c r="B423" s="23">
        <v>854</v>
      </c>
      <c r="C423" s="23">
        <v>855</v>
      </c>
      <c r="D423" s="23" t="s">
        <v>426</v>
      </c>
      <c r="E423" s="24">
        <v>8.52</v>
      </c>
      <c r="F423" s="25">
        <v>10</v>
      </c>
      <c r="G423" s="24">
        <f t="shared" si="12"/>
        <v>0.85199999999999998</v>
      </c>
      <c r="H423" s="23" t="s">
        <v>759</v>
      </c>
      <c r="I423" s="23" t="s">
        <v>760</v>
      </c>
      <c r="J423" s="23" t="str">
        <f t="shared" si="13"/>
        <v>OK</v>
      </c>
      <c r="K423" s="23"/>
    </row>
    <row r="424" spans="1:11" x14ac:dyDescent="0.25">
      <c r="A424" s="23" t="s">
        <v>1186</v>
      </c>
      <c r="B424" s="23">
        <v>856</v>
      </c>
      <c r="C424" s="23">
        <v>857</v>
      </c>
      <c r="D424" s="23" t="s">
        <v>427</v>
      </c>
      <c r="E424" s="24">
        <v>4168.3</v>
      </c>
      <c r="F424" s="25">
        <v>90</v>
      </c>
      <c r="G424" s="24">
        <f t="shared" si="12"/>
        <v>46.314444444444447</v>
      </c>
      <c r="H424" s="23" t="s">
        <v>759</v>
      </c>
      <c r="I424" s="23" t="s">
        <v>760</v>
      </c>
      <c r="J424" s="23" t="str">
        <f t="shared" si="13"/>
        <v>OK</v>
      </c>
      <c r="K424" s="23"/>
    </row>
    <row r="425" spans="1:11" x14ac:dyDescent="0.25">
      <c r="A425" s="23" t="s">
        <v>1187</v>
      </c>
      <c r="B425" s="23">
        <v>858</v>
      </c>
      <c r="C425" s="23">
        <v>859</v>
      </c>
      <c r="D425" s="23" t="s">
        <v>428</v>
      </c>
      <c r="E425" s="24">
        <v>180.32</v>
      </c>
      <c r="F425" s="25">
        <v>392</v>
      </c>
      <c r="G425" s="24">
        <f t="shared" si="12"/>
        <v>0.45999999999999996</v>
      </c>
      <c r="H425" s="23" t="s">
        <v>759</v>
      </c>
      <c r="I425" s="23" t="s">
        <v>760</v>
      </c>
      <c r="J425" s="23" t="str">
        <f t="shared" si="13"/>
        <v>OK</v>
      </c>
      <c r="K425" s="23"/>
    </row>
    <row r="426" spans="1:11" x14ac:dyDescent="0.25">
      <c r="A426" s="23" t="s">
        <v>1188</v>
      </c>
      <c r="B426" s="23">
        <v>860</v>
      </c>
      <c r="C426" s="23">
        <v>861</v>
      </c>
      <c r="D426" s="23" t="s">
        <v>429</v>
      </c>
      <c r="E426" s="24">
        <v>2402.35</v>
      </c>
      <c r="F426" s="25">
        <v>6540</v>
      </c>
      <c r="G426" s="24">
        <f t="shared" si="12"/>
        <v>0.36733180428134554</v>
      </c>
      <c r="H426" s="23" t="s">
        <v>759</v>
      </c>
      <c r="I426" s="23" t="s">
        <v>760</v>
      </c>
      <c r="J426" s="23" t="str">
        <f t="shared" si="13"/>
        <v>OK</v>
      </c>
      <c r="K426" s="23"/>
    </row>
    <row r="427" spans="1:11" x14ac:dyDescent="0.25">
      <c r="A427" s="23" t="s">
        <v>1189</v>
      </c>
      <c r="B427" s="23">
        <v>862</v>
      </c>
      <c r="C427" s="23">
        <v>863</v>
      </c>
      <c r="D427" s="23" t="s">
        <v>430</v>
      </c>
      <c r="E427" s="24">
        <v>557.51</v>
      </c>
      <c r="F427" s="25">
        <v>1214</v>
      </c>
      <c r="G427" s="24">
        <f t="shared" si="12"/>
        <v>0.45923393739703461</v>
      </c>
      <c r="H427" s="23" t="s">
        <v>759</v>
      </c>
      <c r="I427" s="23" t="s">
        <v>760</v>
      </c>
      <c r="J427" s="23" t="str">
        <f t="shared" si="13"/>
        <v>OK</v>
      </c>
      <c r="K427" s="23"/>
    </row>
    <row r="428" spans="1:11" x14ac:dyDescent="0.25">
      <c r="A428" s="23" t="s">
        <v>1190</v>
      </c>
      <c r="B428" s="23">
        <v>864</v>
      </c>
      <c r="C428" s="23">
        <v>865</v>
      </c>
      <c r="D428" s="23" t="s">
        <v>431</v>
      </c>
      <c r="E428" s="24">
        <v>67.2</v>
      </c>
      <c r="F428" s="25">
        <v>120</v>
      </c>
      <c r="G428" s="24">
        <f t="shared" si="12"/>
        <v>0.56000000000000005</v>
      </c>
      <c r="H428" s="23" t="s">
        <v>759</v>
      </c>
      <c r="I428" s="23" t="s">
        <v>760</v>
      </c>
      <c r="J428" s="23" t="str">
        <f t="shared" si="13"/>
        <v>OK</v>
      </c>
      <c r="K428" s="23"/>
    </row>
    <row r="429" spans="1:11" x14ac:dyDescent="0.25">
      <c r="A429" s="23" t="s">
        <v>1191</v>
      </c>
      <c r="B429" s="23">
        <v>866</v>
      </c>
      <c r="C429" s="23">
        <v>867</v>
      </c>
      <c r="D429" s="23" t="s">
        <v>432</v>
      </c>
      <c r="E429" s="24">
        <v>52.41</v>
      </c>
      <c r="F429" s="25">
        <v>30</v>
      </c>
      <c r="G429" s="24">
        <f t="shared" si="12"/>
        <v>1.7469999999999999</v>
      </c>
      <c r="H429" s="23" t="s">
        <v>759</v>
      </c>
      <c r="I429" s="23" t="s">
        <v>760</v>
      </c>
      <c r="J429" s="23" t="str">
        <f t="shared" si="13"/>
        <v>OK</v>
      </c>
      <c r="K429" s="23"/>
    </row>
    <row r="430" spans="1:11" x14ac:dyDescent="0.25">
      <c r="A430" s="23" t="s">
        <v>1192</v>
      </c>
      <c r="B430" s="23">
        <v>868</v>
      </c>
      <c r="C430" s="23">
        <v>869</v>
      </c>
      <c r="D430" s="23" t="s">
        <v>433</v>
      </c>
      <c r="E430" s="24">
        <v>1198.22</v>
      </c>
      <c r="F430" s="25">
        <v>1700</v>
      </c>
      <c r="G430" s="24">
        <f t="shared" si="12"/>
        <v>0.70483529411764712</v>
      </c>
      <c r="H430" s="23" t="s">
        <v>759</v>
      </c>
      <c r="I430" s="23" t="s">
        <v>760</v>
      </c>
      <c r="J430" s="23" t="str">
        <f t="shared" si="13"/>
        <v>OK</v>
      </c>
      <c r="K430" s="23"/>
    </row>
    <row r="431" spans="1:11" x14ac:dyDescent="0.25">
      <c r="A431" s="23" t="s">
        <v>1193</v>
      </c>
      <c r="B431" s="23">
        <v>870</v>
      </c>
      <c r="C431" s="23">
        <v>871</v>
      </c>
      <c r="D431" s="23" t="s">
        <v>434</v>
      </c>
      <c r="E431" s="24">
        <v>531.86</v>
      </c>
      <c r="F431" s="25">
        <v>1620</v>
      </c>
      <c r="G431" s="24">
        <f t="shared" si="12"/>
        <v>0.32830864197530862</v>
      </c>
      <c r="H431" s="23" t="s">
        <v>759</v>
      </c>
      <c r="I431" s="23" t="s">
        <v>760</v>
      </c>
      <c r="J431" s="23" t="str">
        <f t="shared" si="13"/>
        <v>OK</v>
      </c>
      <c r="K431" s="23"/>
    </row>
    <row r="432" spans="1:11" x14ac:dyDescent="0.25">
      <c r="A432" s="23" t="s">
        <v>1194</v>
      </c>
      <c r="B432" s="23">
        <v>872</v>
      </c>
      <c r="C432" s="23">
        <v>873</v>
      </c>
      <c r="D432" s="23" t="s">
        <v>435</v>
      </c>
      <c r="E432" s="24">
        <v>332.16</v>
      </c>
      <c r="F432" s="25">
        <v>720</v>
      </c>
      <c r="G432" s="24">
        <f t="shared" si="12"/>
        <v>0.46133333333333337</v>
      </c>
      <c r="H432" s="23" t="s">
        <v>759</v>
      </c>
      <c r="I432" s="23" t="s">
        <v>760</v>
      </c>
      <c r="J432" s="23" t="str">
        <f t="shared" si="13"/>
        <v>OK</v>
      </c>
      <c r="K432" s="23"/>
    </row>
    <row r="433" spans="1:11" x14ac:dyDescent="0.25">
      <c r="A433" s="23" t="s">
        <v>1195</v>
      </c>
      <c r="B433" s="23">
        <v>874</v>
      </c>
      <c r="C433" s="23">
        <v>875</v>
      </c>
      <c r="D433" s="23" t="s">
        <v>436</v>
      </c>
      <c r="E433" s="24">
        <v>47.72</v>
      </c>
      <c r="F433" s="25">
        <v>40</v>
      </c>
      <c r="G433" s="24">
        <f t="shared" si="12"/>
        <v>1.1930000000000001</v>
      </c>
      <c r="H433" s="23" t="s">
        <v>759</v>
      </c>
      <c r="I433" s="23" t="s">
        <v>760</v>
      </c>
      <c r="J433" s="23" t="str">
        <f t="shared" si="13"/>
        <v>OK</v>
      </c>
      <c r="K433" s="23"/>
    </row>
    <row r="434" spans="1:11" x14ac:dyDescent="0.25">
      <c r="A434" s="23" t="s">
        <v>1196</v>
      </c>
      <c r="B434" s="23">
        <v>876</v>
      </c>
      <c r="C434" s="23">
        <v>877</v>
      </c>
      <c r="D434" s="23" t="s">
        <v>437</v>
      </c>
      <c r="E434" s="24">
        <v>78.87</v>
      </c>
      <c r="F434" s="25">
        <v>2</v>
      </c>
      <c r="G434" s="24">
        <f t="shared" si="12"/>
        <v>39.435000000000002</v>
      </c>
      <c r="H434" s="23" t="s">
        <v>759</v>
      </c>
      <c r="I434" s="23" t="s">
        <v>760</v>
      </c>
      <c r="J434" s="23" t="str">
        <f t="shared" si="13"/>
        <v>OK</v>
      </c>
      <c r="K434" s="23"/>
    </row>
    <row r="435" spans="1:11" x14ac:dyDescent="0.25">
      <c r="A435" s="23" t="s">
        <v>1197</v>
      </c>
      <c r="B435" s="23">
        <v>878</v>
      </c>
      <c r="C435" s="23">
        <v>879</v>
      </c>
      <c r="D435" s="23" t="s">
        <v>438</v>
      </c>
      <c r="E435" s="24">
        <v>2378.6</v>
      </c>
      <c r="F435" s="25">
        <v>125</v>
      </c>
      <c r="G435" s="24">
        <f t="shared" si="12"/>
        <v>19.0288</v>
      </c>
      <c r="H435" s="23" t="s">
        <v>759</v>
      </c>
      <c r="I435" s="23" t="s">
        <v>760</v>
      </c>
      <c r="J435" s="23" t="str">
        <f t="shared" si="13"/>
        <v>OK</v>
      </c>
      <c r="K435" s="23"/>
    </row>
    <row r="436" spans="1:11" x14ac:dyDescent="0.25">
      <c r="A436" s="23" t="s">
        <v>1198</v>
      </c>
      <c r="B436" s="23">
        <v>880</v>
      </c>
      <c r="C436" s="23">
        <v>881</v>
      </c>
      <c r="D436" s="23" t="s">
        <v>439</v>
      </c>
      <c r="E436" s="24">
        <v>1517.7</v>
      </c>
      <c r="F436" s="25">
        <v>2670</v>
      </c>
      <c r="G436" s="24">
        <f t="shared" si="12"/>
        <v>0.56842696629213485</v>
      </c>
      <c r="H436" s="23" t="s">
        <v>759</v>
      </c>
      <c r="I436" s="23" t="s">
        <v>760</v>
      </c>
      <c r="J436" s="23" t="str">
        <f t="shared" si="13"/>
        <v>OK</v>
      </c>
      <c r="K436" s="23"/>
    </row>
    <row r="437" spans="1:11" x14ac:dyDescent="0.25">
      <c r="A437" s="23" t="s">
        <v>1199</v>
      </c>
      <c r="B437" s="23">
        <v>882</v>
      </c>
      <c r="C437" s="23">
        <v>883</v>
      </c>
      <c r="D437" s="23" t="s">
        <v>440</v>
      </c>
      <c r="E437" s="24">
        <v>1263.6099999999999</v>
      </c>
      <c r="F437" s="25">
        <v>690</v>
      </c>
      <c r="G437" s="24">
        <f t="shared" si="12"/>
        <v>1.8313188405797101</v>
      </c>
      <c r="H437" s="23" t="s">
        <v>759</v>
      </c>
      <c r="I437" s="23" t="s">
        <v>760</v>
      </c>
      <c r="J437" s="23" t="str">
        <f t="shared" si="13"/>
        <v>OK</v>
      </c>
      <c r="K437" s="23"/>
    </row>
    <row r="438" spans="1:11" x14ac:dyDescent="0.25">
      <c r="A438" s="23" t="s">
        <v>1200</v>
      </c>
      <c r="B438" s="23">
        <v>884</v>
      </c>
      <c r="C438" s="23">
        <v>885</v>
      </c>
      <c r="D438" s="23" t="s">
        <v>441</v>
      </c>
      <c r="E438" s="24">
        <v>109.16</v>
      </c>
      <c r="F438" s="25">
        <v>1</v>
      </c>
      <c r="G438" s="24">
        <f t="shared" si="12"/>
        <v>109.16</v>
      </c>
      <c r="H438" s="23" t="s">
        <v>759</v>
      </c>
      <c r="I438" s="23" t="s">
        <v>760</v>
      </c>
      <c r="J438" s="23" t="str">
        <f t="shared" si="13"/>
        <v>OK</v>
      </c>
      <c r="K438" s="23"/>
    </row>
    <row r="439" spans="1:11" x14ac:dyDescent="0.25">
      <c r="A439" s="23" t="s">
        <v>1201</v>
      </c>
      <c r="B439" s="23">
        <v>886</v>
      </c>
      <c r="C439" s="23">
        <v>887</v>
      </c>
      <c r="D439" s="23" t="s">
        <v>442</v>
      </c>
      <c r="E439" s="24">
        <v>2714.51</v>
      </c>
      <c r="F439" s="25">
        <v>63</v>
      </c>
      <c r="G439" s="24">
        <f t="shared" si="12"/>
        <v>43.087460317460319</v>
      </c>
      <c r="H439" s="23" t="s">
        <v>759</v>
      </c>
      <c r="I439" s="23" t="s">
        <v>760</v>
      </c>
      <c r="J439" s="23" t="str">
        <f t="shared" si="13"/>
        <v>OK</v>
      </c>
      <c r="K439" s="23"/>
    </row>
    <row r="440" spans="1:11" ht="26.4" x14ac:dyDescent="0.25">
      <c r="A440" s="23" t="s">
        <v>1202</v>
      </c>
      <c r="B440" s="23">
        <v>888</v>
      </c>
      <c r="C440" s="23">
        <v>889</v>
      </c>
      <c r="D440" s="23" t="s">
        <v>443</v>
      </c>
      <c r="E440" s="24">
        <v>207.86</v>
      </c>
      <c r="F440" s="25">
        <v>120</v>
      </c>
      <c r="G440" s="24">
        <f t="shared" si="12"/>
        <v>1.7321666666666669</v>
      </c>
      <c r="H440" s="23" t="s">
        <v>759</v>
      </c>
      <c r="I440" s="23" t="s">
        <v>760</v>
      </c>
      <c r="J440" s="23" t="str">
        <f t="shared" si="13"/>
        <v>OK</v>
      </c>
      <c r="K440" s="23"/>
    </row>
    <row r="441" spans="1:11" ht="26.4" x14ac:dyDescent="0.25">
      <c r="A441" s="23" t="s">
        <v>1203</v>
      </c>
      <c r="B441" s="23">
        <v>890</v>
      </c>
      <c r="C441" s="23">
        <v>891</v>
      </c>
      <c r="D441" s="23" t="s">
        <v>444</v>
      </c>
      <c r="E441" s="24">
        <v>18194.02</v>
      </c>
      <c r="F441" s="25">
        <v>220</v>
      </c>
      <c r="G441" s="24">
        <f t="shared" si="12"/>
        <v>82.700090909090918</v>
      </c>
      <c r="H441" s="23" t="s">
        <v>759</v>
      </c>
      <c r="I441" s="23" t="s">
        <v>760</v>
      </c>
      <c r="J441" s="23" t="str">
        <f t="shared" si="13"/>
        <v>OK</v>
      </c>
      <c r="K441" s="23"/>
    </row>
    <row r="442" spans="1:11" x14ac:dyDescent="0.25">
      <c r="A442" s="23" t="s">
        <v>1204</v>
      </c>
      <c r="B442" s="23">
        <v>892</v>
      </c>
      <c r="C442" s="23">
        <v>893</v>
      </c>
      <c r="D442" s="23" t="s">
        <v>445</v>
      </c>
      <c r="E442" s="24">
        <v>957.02</v>
      </c>
      <c r="F442" s="25">
        <v>120</v>
      </c>
      <c r="G442" s="24">
        <f t="shared" si="12"/>
        <v>7.9751666666666665</v>
      </c>
      <c r="H442" s="23" t="s">
        <v>759</v>
      </c>
      <c r="I442" s="23" t="s">
        <v>760</v>
      </c>
      <c r="J442" s="23" t="str">
        <f t="shared" si="13"/>
        <v>OK</v>
      </c>
      <c r="K442" s="23"/>
    </row>
    <row r="443" spans="1:11" x14ac:dyDescent="0.25">
      <c r="A443" s="23" t="s">
        <v>1205</v>
      </c>
      <c r="B443" s="23">
        <v>894</v>
      </c>
      <c r="C443" s="23">
        <v>895</v>
      </c>
      <c r="D443" s="23" t="s">
        <v>446</v>
      </c>
      <c r="E443" s="24">
        <v>164.7</v>
      </c>
      <c r="F443" s="25">
        <v>60</v>
      </c>
      <c r="G443" s="24">
        <f t="shared" si="12"/>
        <v>2.7449999999999997</v>
      </c>
      <c r="H443" s="23" t="s">
        <v>759</v>
      </c>
      <c r="I443" s="23" t="s">
        <v>760</v>
      </c>
      <c r="J443" s="23" t="str">
        <f t="shared" si="13"/>
        <v>OK</v>
      </c>
      <c r="K443" s="23"/>
    </row>
    <row r="444" spans="1:11" x14ac:dyDescent="0.25">
      <c r="A444" s="23" t="s">
        <v>1206</v>
      </c>
      <c r="B444" s="23">
        <v>896</v>
      </c>
      <c r="C444" s="23">
        <v>897</v>
      </c>
      <c r="D444" s="23" t="s">
        <v>447</v>
      </c>
      <c r="E444" s="24">
        <v>330.9</v>
      </c>
      <c r="F444" s="25">
        <v>110</v>
      </c>
      <c r="G444" s="24">
        <f t="shared" si="12"/>
        <v>3.0081818181818178</v>
      </c>
      <c r="H444" s="23" t="s">
        <v>759</v>
      </c>
      <c r="I444" s="23" t="s">
        <v>760</v>
      </c>
      <c r="J444" s="23" t="str">
        <f t="shared" si="13"/>
        <v>OK</v>
      </c>
      <c r="K444" s="23"/>
    </row>
    <row r="445" spans="1:11" x14ac:dyDescent="0.25">
      <c r="A445" s="23" t="s">
        <v>1207</v>
      </c>
      <c r="B445" s="23">
        <v>898</v>
      </c>
      <c r="C445" s="23">
        <v>899</v>
      </c>
      <c r="D445" s="23" t="s">
        <v>448</v>
      </c>
      <c r="E445" s="24">
        <v>902.49</v>
      </c>
      <c r="F445" s="25">
        <v>300</v>
      </c>
      <c r="G445" s="24">
        <f t="shared" si="12"/>
        <v>3.0083000000000002</v>
      </c>
      <c r="H445" s="23" t="s">
        <v>759</v>
      </c>
      <c r="I445" s="23" t="s">
        <v>760</v>
      </c>
      <c r="J445" s="23" t="str">
        <f t="shared" si="13"/>
        <v>OK</v>
      </c>
      <c r="K445" s="23"/>
    </row>
    <row r="446" spans="1:11" x14ac:dyDescent="0.25">
      <c r="A446" s="23" t="s">
        <v>1208</v>
      </c>
      <c r="B446" s="23">
        <v>900</v>
      </c>
      <c r="C446" s="23">
        <v>901</v>
      </c>
      <c r="D446" s="23" t="s">
        <v>449</v>
      </c>
      <c r="E446" s="24">
        <v>5097.4399999999996</v>
      </c>
      <c r="F446" s="25">
        <v>1600</v>
      </c>
      <c r="G446" s="24">
        <f t="shared" si="12"/>
        <v>3.1858999999999997</v>
      </c>
      <c r="H446" s="23" t="s">
        <v>759</v>
      </c>
      <c r="I446" s="23" t="s">
        <v>760</v>
      </c>
      <c r="J446" s="23" t="str">
        <f t="shared" si="13"/>
        <v>OK</v>
      </c>
      <c r="K446" s="23"/>
    </row>
    <row r="447" spans="1:11" x14ac:dyDescent="0.25">
      <c r="A447" s="23" t="s">
        <v>1209</v>
      </c>
      <c r="B447" s="23">
        <v>902</v>
      </c>
      <c r="C447" s="23">
        <v>903</v>
      </c>
      <c r="D447" s="23" t="s">
        <v>450</v>
      </c>
      <c r="E447" s="24">
        <v>2153.17</v>
      </c>
      <c r="F447" s="25">
        <v>700</v>
      </c>
      <c r="G447" s="24">
        <f t="shared" si="12"/>
        <v>3.0759571428571428</v>
      </c>
      <c r="H447" s="23" t="s">
        <v>759</v>
      </c>
      <c r="I447" s="23" t="s">
        <v>760</v>
      </c>
      <c r="J447" s="23" t="str">
        <f t="shared" si="13"/>
        <v>OK</v>
      </c>
      <c r="K447" s="23"/>
    </row>
    <row r="448" spans="1:11" x14ac:dyDescent="0.25">
      <c r="A448" s="23" t="s">
        <v>1210</v>
      </c>
      <c r="B448" s="23">
        <v>904</v>
      </c>
      <c r="C448" s="23">
        <v>905</v>
      </c>
      <c r="D448" s="23" t="s">
        <v>451</v>
      </c>
      <c r="E448" s="24">
        <v>601.66</v>
      </c>
      <c r="F448" s="25">
        <v>200</v>
      </c>
      <c r="G448" s="24">
        <f t="shared" si="12"/>
        <v>3.0082999999999998</v>
      </c>
      <c r="H448" s="23" t="s">
        <v>759</v>
      </c>
      <c r="I448" s="23" t="s">
        <v>760</v>
      </c>
      <c r="J448" s="23" t="str">
        <f t="shared" si="13"/>
        <v>OK</v>
      </c>
      <c r="K448" s="23"/>
    </row>
    <row r="449" spans="1:11" x14ac:dyDescent="0.25">
      <c r="A449" s="23" t="s">
        <v>1211</v>
      </c>
      <c r="B449" s="23">
        <v>906</v>
      </c>
      <c r="C449" s="23">
        <v>907</v>
      </c>
      <c r="D449" s="23" t="s">
        <v>452</v>
      </c>
      <c r="E449" s="24">
        <v>6122.76</v>
      </c>
      <c r="F449" s="25">
        <v>8400</v>
      </c>
      <c r="G449" s="24">
        <f t="shared" si="12"/>
        <v>0.72889999999999999</v>
      </c>
      <c r="H449" s="23" t="s">
        <v>759</v>
      </c>
      <c r="I449" s="23" t="s">
        <v>760</v>
      </c>
      <c r="J449" s="23" t="str">
        <f t="shared" si="13"/>
        <v>OK</v>
      </c>
      <c r="K449" s="23"/>
    </row>
    <row r="450" spans="1:11" x14ac:dyDescent="0.25">
      <c r="A450" s="23" t="s">
        <v>1212</v>
      </c>
      <c r="B450" s="23">
        <v>908</v>
      </c>
      <c r="C450" s="23">
        <v>909</v>
      </c>
      <c r="D450" s="23" t="s">
        <v>453</v>
      </c>
      <c r="E450" s="24">
        <v>6122.76</v>
      </c>
      <c r="F450" s="25">
        <v>8400</v>
      </c>
      <c r="G450" s="24">
        <f t="shared" ref="G450:G513" si="14">IFERROR(E450/F450,"")</f>
        <v>0.72889999999999999</v>
      </c>
      <c r="H450" s="23" t="s">
        <v>759</v>
      </c>
      <c r="I450" s="23" t="s">
        <v>760</v>
      </c>
      <c r="J450" s="23" t="str">
        <f t="shared" ref="J450:J513" si="15">IF(OR(E450="",F450=""),"LIPSESC DATE",IF(F450=0,"CANTITATE 0","OK"))</f>
        <v>OK</v>
      </c>
      <c r="K450" s="23"/>
    </row>
    <row r="451" spans="1:11" x14ac:dyDescent="0.25">
      <c r="A451" s="23" t="s">
        <v>1213</v>
      </c>
      <c r="B451" s="23">
        <v>910</v>
      </c>
      <c r="C451" s="23">
        <v>911</v>
      </c>
      <c r="D451" s="23" t="s">
        <v>454</v>
      </c>
      <c r="E451" s="24">
        <v>3400</v>
      </c>
      <c r="F451" s="25">
        <v>5000</v>
      </c>
      <c r="G451" s="24">
        <f t="shared" si="14"/>
        <v>0.68</v>
      </c>
      <c r="H451" s="23" t="s">
        <v>759</v>
      </c>
      <c r="I451" s="23" t="s">
        <v>760</v>
      </c>
      <c r="J451" s="23" t="str">
        <f t="shared" si="15"/>
        <v>OK</v>
      </c>
      <c r="K451" s="23"/>
    </row>
    <row r="452" spans="1:11" x14ac:dyDescent="0.25">
      <c r="A452" s="23" t="s">
        <v>1214</v>
      </c>
      <c r="B452" s="23">
        <v>912</v>
      </c>
      <c r="C452" s="23">
        <v>913</v>
      </c>
      <c r="D452" s="23" t="s">
        <v>455</v>
      </c>
      <c r="E452" s="24">
        <v>1555.2</v>
      </c>
      <c r="F452" s="25">
        <v>4000</v>
      </c>
      <c r="G452" s="24">
        <f t="shared" si="14"/>
        <v>0.38880000000000003</v>
      </c>
      <c r="H452" s="23" t="s">
        <v>759</v>
      </c>
      <c r="I452" s="23" t="s">
        <v>760</v>
      </c>
      <c r="J452" s="23" t="str">
        <f t="shared" si="15"/>
        <v>OK</v>
      </c>
      <c r="K452" s="23"/>
    </row>
    <row r="453" spans="1:11" x14ac:dyDescent="0.25">
      <c r="A453" s="23" t="s">
        <v>1215</v>
      </c>
      <c r="B453" s="23">
        <v>914</v>
      </c>
      <c r="C453" s="23">
        <v>915</v>
      </c>
      <c r="D453" s="23" t="s">
        <v>456</v>
      </c>
      <c r="E453" s="24">
        <v>2293.92</v>
      </c>
      <c r="F453" s="25">
        <v>5900</v>
      </c>
      <c r="G453" s="24">
        <f t="shared" si="14"/>
        <v>0.38880000000000003</v>
      </c>
      <c r="H453" s="23" t="s">
        <v>759</v>
      </c>
      <c r="I453" s="23" t="s">
        <v>760</v>
      </c>
      <c r="J453" s="23" t="str">
        <f t="shared" si="15"/>
        <v>OK</v>
      </c>
      <c r="K453" s="23"/>
    </row>
    <row r="454" spans="1:11" x14ac:dyDescent="0.25">
      <c r="A454" s="23" t="s">
        <v>1216</v>
      </c>
      <c r="B454" s="23">
        <v>916</v>
      </c>
      <c r="C454" s="23">
        <v>917</v>
      </c>
      <c r="D454" s="23" t="s">
        <v>457</v>
      </c>
      <c r="E454" s="24">
        <v>1929.79</v>
      </c>
      <c r="F454" s="25">
        <v>2600</v>
      </c>
      <c r="G454" s="24">
        <f t="shared" si="14"/>
        <v>0.74222692307692306</v>
      </c>
      <c r="H454" s="23" t="s">
        <v>759</v>
      </c>
      <c r="I454" s="23" t="s">
        <v>760</v>
      </c>
      <c r="J454" s="23" t="str">
        <f t="shared" si="15"/>
        <v>OK</v>
      </c>
      <c r="K454" s="23"/>
    </row>
    <row r="455" spans="1:11" ht="26.4" x14ac:dyDescent="0.25">
      <c r="A455" s="23" t="s">
        <v>1217</v>
      </c>
      <c r="B455" s="23">
        <v>918</v>
      </c>
      <c r="C455" s="23">
        <v>919</v>
      </c>
      <c r="D455" s="23" t="s">
        <v>458</v>
      </c>
      <c r="E455" s="24">
        <v>508.3</v>
      </c>
      <c r="F455" s="25">
        <v>1300</v>
      </c>
      <c r="G455" s="24">
        <f t="shared" si="14"/>
        <v>0.39100000000000001</v>
      </c>
      <c r="H455" s="23" t="s">
        <v>759</v>
      </c>
      <c r="I455" s="23" t="s">
        <v>760</v>
      </c>
      <c r="J455" s="23" t="str">
        <f t="shared" si="15"/>
        <v>OK</v>
      </c>
      <c r="K455" s="23"/>
    </row>
    <row r="456" spans="1:11" ht="26.4" x14ac:dyDescent="0.25">
      <c r="A456" s="23" t="s">
        <v>1218</v>
      </c>
      <c r="B456" s="23">
        <v>920</v>
      </c>
      <c r="C456" s="23">
        <v>921</v>
      </c>
      <c r="D456" s="23" t="s">
        <v>459</v>
      </c>
      <c r="E456" s="24">
        <v>430.1</v>
      </c>
      <c r="F456" s="25">
        <v>1100</v>
      </c>
      <c r="G456" s="24">
        <f t="shared" si="14"/>
        <v>0.39100000000000001</v>
      </c>
      <c r="H456" s="23" t="s">
        <v>759</v>
      </c>
      <c r="I456" s="23" t="s">
        <v>760</v>
      </c>
      <c r="J456" s="23" t="str">
        <f t="shared" si="15"/>
        <v>OK</v>
      </c>
      <c r="K456" s="23"/>
    </row>
    <row r="457" spans="1:11" ht="26.4" x14ac:dyDescent="0.25">
      <c r="A457" s="23" t="s">
        <v>1219</v>
      </c>
      <c r="B457" s="23">
        <v>922</v>
      </c>
      <c r="C457" s="23">
        <v>923</v>
      </c>
      <c r="D457" s="23" t="s">
        <v>460</v>
      </c>
      <c r="E457" s="24">
        <v>2544.48</v>
      </c>
      <c r="F457" s="25">
        <v>5000</v>
      </c>
      <c r="G457" s="24">
        <f t="shared" si="14"/>
        <v>0.50889600000000002</v>
      </c>
      <c r="H457" s="23" t="s">
        <v>759</v>
      </c>
      <c r="I457" s="23" t="s">
        <v>760</v>
      </c>
      <c r="J457" s="23" t="str">
        <f t="shared" si="15"/>
        <v>OK</v>
      </c>
      <c r="K457" s="23"/>
    </row>
    <row r="458" spans="1:11" ht="26.4" x14ac:dyDescent="0.25">
      <c r="A458" s="23" t="s">
        <v>1220</v>
      </c>
      <c r="B458" s="23">
        <v>924</v>
      </c>
      <c r="C458" s="23">
        <v>925</v>
      </c>
      <c r="D458" s="23" t="s">
        <v>461</v>
      </c>
      <c r="E458" s="24">
        <v>1526.69</v>
      </c>
      <c r="F458" s="25">
        <v>3000</v>
      </c>
      <c r="G458" s="24">
        <f t="shared" si="14"/>
        <v>0.50889666666666666</v>
      </c>
      <c r="H458" s="23" t="s">
        <v>759</v>
      </c>
      <c r="I458" s="23" t="s">
        <v>760</v>
      </c>
      <c r="J458" s="23" t="str">
        <f t="shared" si="15"/>
        <v>OK</v>
      </c>
      <c r="K458" s="23"/>
    </row>
    <row r="459" spans="1:11" x14ac:dyDescent="0.25">
      <c r="A459" s="23" t="s">
        <v>1221</v>
      </c>
      <c r="B459" s="23">
        <v>926</v>
      </c>
      <c r="C459" s="23">
        <v>927</v>
      </c>
      <c r="D459" s="23" t="s">
        <v>462</v>
      </c>
      <c r="E459" s="24">
        <v>5885</v>
      </c>
      <c r="F459" s="25">
        <v>10700</v>
      </c>
      <c r="G459" s="24">
        <f t="shared" si="14"/>
        <v>0.55000000000000004</v>
      </c>
      <c r="H459" s="23" t="s">
        <v>759</v>
      </c>
      <c r="I459" s="23" t="s">
        <v>760</v>
      </c>
      <c r="J459" s="23" t="str">
        <f t="shared" si="15"/>
        <v>OK</v>
      </c>
      <c r="K459" s="23"/>
    </row>
    <row r="460" spans="1:11" x14ac:dyDescent="0.25">
      <c r="A460" s="23" t="s">
        <v>1222</v>
      </c>
      <c r="B460" s="23">
        <v>928</v>
      </c>
      <c r="C460" s="23">
        <v>929</v>
      </c>
      <c r="D460" s="23" t="s">
        <v>463</v>
      </c>
      <c r="E460" s="24">
        <v>7040</v>
      </c>
      <c r="F460" s="25">
        <v>12800</v>
      </c>
      <c r="G460" s="24">
        <f t="shared" si="14"/>
        <v>0.55000000000000004</v>
      </c>
      <c r="H460" s="23" t="s">
        <v>759</v>
      </c>
      <c r="I460" s="23" t="s">
        <v>760</v>
      </c>
      <c r="J460" s="23" t="str">
        <f t="shared" si="15"/>
        <v>OK</v>
      </c>
      <c r="K460" s="23"/>
    </row>
    <row r="461" spans="1:11" ht="26.4" x14ac:dyDescent="0.25">
      <c r="A461" s="23" t="s">
        <v>1223</v>
      </c>
      <c r="B461" s="23">
        <v>930</v>
      </c>
      <c r="C461" s="23">
        <v>931</v>
      </c>
      <c r="D461" s="23" t="s">
        <v>464</v>
      </c>
      <c r="E461" s="24">
        <v>793.15</v>
      </c>
      <c r="F461" s="25">
        <v>120</v>
      </c>
      <c r="G461" s="24">
        <f t="shared" si="14"/>
        <v>6.6095833333333331</v>
      </c>
      <c r="H461" s="23" t="s">
        <v>759</v>
      </c>
      <c r="I461" s="23" t="s">
        <v>760</v>
      </c>
      <c r="J461" s="23" t="str">
        <f t="shared" si="15"/>
        <v>OK</v>
      </c>
      <c r="K461" s="23"/>
    </row>
    <row r="462" spans="1:11" ht="26.4" x14ac:dyDescent="0.25">
      <c r="A462" s="23" t="s">
        <v>1224</v>
      </c>
      <c r="B462" s="23">
        <v>932</v>
      </c>
      <c r="C462" s="23">
        <v>933</v>
      </c>
      <c r="D462" s="23" t="s">
        <v>465</v>
      </c>
      <c r="E462" s="24">
        <v>713.83</v>
      </c>
      <c r="F462" s="25">
        <v>108</v>
      </c>
      <c r="G462" s="24">
        <f t="shared" si="14"/>
        <v>6.609537037037037</v>
      </c>
      <c r="H462" s="23" t="s">
        <v>759</v>
      </c>
      <c r="I462" s="23" t="s">
        <v>760</v>
      </c>
      <c r="J462" s="23" t="str">
        <f t="shared" si="15"/>
        <v>OK</v>
      </c>
      <c r="K462" s="23"/>
    </row>
    <row r="463" spans="1:11" ht="26.4" x14ac:dyDescent="0.25">
      <c r="A463" s="23" t="s">
        <v>1225</v>
      </c>
      <c r="B463" s="23">
        <v>934</v>
      </c>
      <c r="C463" s="23">
        <v>935</v>
      </c>
      <c r="D463" s="23" t="s">
        <v>466</v>
      </c>
      <c r="E463" s="24">
        <v>793.15</v>
      </c>
      <c r="F463" s="25">
        <v>120</v>
      </c>
      <c r="G463" s="24">
        <f t="shared" si="14"/>
        <v>6.6095833333333331</v>
      </c>
      <c r="H463" s="23" t="s">
        <v>759</v>
      </c>
      <c r="I463" s="23" t="s">
        <v>760</v>
      </c>
      <c r="J463" s="23" t="str">
        <f t="shared" si="15"/>
        <v>OK</v>
      </c>
      <c r="K463" s="23"/>
    </row>
    <row r="464" spans="1:11" x14ac:dyDescent="0.25">
      <c r="A464" s="23" t="s">
        <v>1226</v>
      </c>
      <c r="B464" s="23">
        <v>936</v>
      </c>
      <c r="C464" s="23">
        <v>937</v>
      </c>
      <c r="D464" s="23" t="s">
        <v>467</v>
      </c>
      <c r="E464" s="24">
        <v>1947.37</v>
      </c>
      <c r="F464" s="25">
        <v>264</v>
      </c>
      <c r="G464" s="24">
        <f t="shared" si="14"/>
        <v>7.3764015151515148</v>
      </c>
      <c r="H464" s="23" t="s">
        <v>759</v>
      </c>
      <c r="I464" s="23" t="s">
        <v>760</v>
      </c>
      <c r="J464" s="23" t="str">
        <f t="shared" si="15"/>
        <v>OK</v>
      </c>
      <c r="K464" s="23"/>
    </row>
    <row r="465" spans="1:11" x14ac:dyDescent="0.25">
      <c r="A465" s="23" t="s">
        <v>1227</v>
      </c>
      <c r="B465" s="23">
        <v>938</v>
      </c>
      <c r="C465" s="23">
        <v>939</v>
      </c>
      <c r="D465" s="23" t="s">
        <v>468</v>
      </c>
      <c r="E465" s="24">
        <v>46.22</v>
      </c>
      <c r="F465" s="25">
        <v>1</v>
      </c>
      <c r="G465" s="24">
        <f t="shared" si="14"/>
        <v>46.22</v>
      </c>
      <c r="H465" s="23" t="s">
        <v>759</v>
      </c>
      <c r="I465" s="23" t="s">
        <v>760</v>
      </c>
      <c r="J465" s="23" t="str">
        <f t="shared" si="15"/>
        <v>OK</v>
      </c>
      <c r="K465" s="23"/>
    </row>
    <row r="466" spans="1:11" x14ac:dyDescent="0.25">
      <c r="A466" s="23" t="s">
        <v>1228</v>
      </c>
      <c r="B466" s="23">
        <v>940</v>
      </c>
      <c r="C466" s="23">
        <v>941</v>
      </c>
      <c r="D466" s="23" t="s">
        <v>469</v>
      </c>
      <c r="E466" s="24">
        <v>3214.07</v>
      </c>
      <c r="F466" s="25">
        <v>1380</v>
      </c>
      <c r="G466" s="24">
        <f t="shared" si="14"/>
        <v>2.3290362318840581</v>
      </c>
      <c r="H466" s="23" t="s">
        <v>759</v>
      </c>
      <c r="I466" s="23" t="s">
        <v>760</v>
      </c>
      <c r="J466" s="23" t="str">
        <f t="shared" si="15"/>
        <v>OK</v>
      </c>
      <c r="K466" s="23"/>
    </row>
    <row r="467" spans="1:11" x14ac:dyDescent="0.25">
      <c r="A467" s="23" t="s">
        <v>1229</v>
      </c>
      <c r="B467" s="23">
        <v>942</v>
      </c>
      <c r="C467" s="23">
        <v>943</v>
      </c>
      <c r="D467" s="23" t="s">
        <v>470</v>
      </c>
      <c r="E467" s="24">
        <v>150</v>
      </c>
      <c r="F467" s="25">
        <v>60</v>
      </c>
      <c r="G467" s="24">
        <f t="shared" si="14"/>
        <v>2.5</v>
      </c>
      <c r="H467" s="23" t="s">
        <v>759</v>
      </c>
      <c r="I467" s="23" t="s">
        <v>760</v>
      </c>
      <c r="J467" s="23" t="str">
        <f t="shared" si="15"/>
        <v>OK</v>
      </c>
      <c r="K467" s="23"/>
    </row>
    <row r="468" spans="1:11" x14ac:dyDescent="0.25">
      <c r="A468" s="23" t="s">
        <v>1230</v>
      </c>
      <c r="B468" s="23">
        <v>944</v>
      </c>
      <c r="C468" s="23">
        <v>945</v>
      </c>
      <c r="D468" s="23" t="s">
        <v>471</v>
      </c>
      <c r="E468" s="24">
        <v>750.38</v>
      </c>
      <c r="F468" s="25">
        <v>20</v>
      </c>
      <c r="G468" s="24">
        <f t="shared" si="14"/>
        <v>37.518999999999998</v>
      </c>
      <c r="H468" s="23" t="s">
        <v>759</v>
      </c>
      <c r="I468" s="23" t="s">
        <v>760</v>
      </c>
      <c r="J468" s="23" t="str">
        <f t="shared" si="15"/>
        <v>OK</v>
      </c>
      <c r="K468" s="23"/>
    </row>
    <row r="469" spans="1:11" x14ac:dyDescent="0.25">
      <c r="A469" s="23" t="s">
        <v>1231</v>
      </c>
      <c r="B469" s="23">
        <v>946</v>
      </c>
      <c r="C469" s="23">
        <v>947</v>
      </c>
      <c r="D469" s="23" t="s">
        <v>472</v>
      </c>
      <c r="E469" s="24">
        <v>1111.3599999999999</v>
      </c>
      <c r="F469" s="25">
        <v>25</v>
      </c>
      <c r="G469" s="24">
        <f t="shared" si="14"/>
        <v>44.454399999999993</v>
      </c>
      <c r="H469" s="23" t="s">
        <v>759</v>
      </c>
      <c r="I469" s="23" t="s">
        <v>760</v>
      </c>
      <c r="J469" s="23" t="str">
        <f t="shared" si="15"/>
        <v>OK</v>
      </c>
      <c r="K469" s="23"/>
    </row>
    <row r="470" spans="1:11" x14ac:dyDescent="0.25">
      <c r="A470" s="23" t="s">
        <v>1232</v>
      </c>
      <c r="B470" s="23">
        <v>948</v>
      </c>
      <c r="C470" s="23">
        <v>949</v>
      </c>
      <c r="D470" s="23" t="s">
        <v>473</v>
      </c>
      <c r="E470" s="24">
        <v>544.1</v>
      </c>
      <c r="F470" s="25">
        <v>320</v>
      </c>
      <c r="G470" s="24">
        <f t="shared" si="14"/>
        <v>1.7003125000000001</v>
      </c>
      <c r="H470" s="23" t="s">
        <v>759</v>
      </c>
      <c r="I470" s="23" t="s">
        <v>760</v>
      </c>
      <c r="J470" s="23" t="str">
        <f t="shared" si="15"/>
        <v>OK</v>
      </c>
      <c r="K470" s="23"/>
    </row>
    <row r="471" spans="1:11" x14ac:dyDescent="0.25">
      <c r="A471" s="23" t="s">
        <v>1233</v>
      </c>
      <c r="B471" s="23">
        <v>950</v>
      </c>
      <c r="C471" s="23">
        <v>951</v>
      </c>
      <c r="D471" s="23" t="s">
        <v>474</v>
      </c>
      <c r="E471" s="24">
        <v>2065.04</v>
      </c>
      <c r="F471" s="25">
        <v>12</v>
      </c>
      <c r="G471" s="24">
        <f t="shared" si="14"/>
        <v>172.08666666666667</v>
      </c>
      <c r="H471" s="23" t="s">
        <v>759</v>
      </c>
      <c r="I471" s="23" t="s">
        <v>760</v>
      </c>
      <c r="J471" s="23" t="str">
        <f t="shared" si="15"/>
        <v>OK</v>
      </c>
      <c r="K471" s="23"/>
    </row>
    <row r="472" spans="1:11" x14ac:dyDescent="0.25">
      <c r="A472" s="23" t="s">
        <v>1234</v>
      </c>
      <c r="B472" s="23">
        <v>952</v>
      </c>
      <c r="C472" s="23">
        <v>953</v>
      </c>
      <c r="D472" s="23" t="s">
        <v>475</v>
      </c>
      <c r="E472" s="24">
        <v>2172.84</v>
      </c>
      <c r="F472" s="25">
        <v>40</v>
      </c>
      <c r="G472" s="24">
        <f t="shared" si="14"/>
        <v>54.321000000000005</v>
      </c>
      <c r="H472" s="23" t="s">
        <v>759</v>
      </c>
      <c r="I472" s="23" t="s">
        <v>760</v>
      </c>
      <c r="J472" s="23" t="str">
        <f t="shared" si="15"/>
        <v>OK</v>
      </c>
      <c r="K472" s="23"/>
    </row>
    <row r="473" spans="1:11" x14ac:dyDescent="0.25">
      <c r="A473" s="23" t="s">
        <v>1235</v>
      </c>
      <c r="B473" s="23">
        <v>954</v>
      </c>
      <c r="C473" s="23">
        <v>955</v>
      </c>
      <c r="D473" s="23" t="s">
        <v>476</v>
      </c>
      <c r="E473" s="24">
        <v>3168.08</v>
      </c>
      <c r="F473" s="25">
        <v>8</v>
      </c>
      <c r="G473" s="24">
        <f t="shared" si="14"/>
        <v>396.01</v>
      </c>
      <c r="H473" s="23" t="s">
        <v>759</v>
      </c>
      <c r="I473" s="23" t="s">
        <v>760</v>
      </c>
      <c r="J473" s="23" t="str">
        <f t="shared" si="15"/>
        <v>OK</v>
      </c>
      <c r="K473" s="23"/>
    </row>
    <row r="474" spans="1:11" x14ac:dyDescent="0.25">
      <c r="A474" s="23" t="s">
        <v>1236</v>
      </c>
      <c r="B474" s="23">
        <v>956</v>
      </c>
      <c r="C474" s="23">
        <v>957</v>
      </c>
      <c r="D474" s="23" t="s">
        <v>477</v>
      </c>
      <c r="E474" s="24">
        <v>578.34</v>
      </c>
      <c r="F474" s="25">
        <v>10</v>
      </c>
      <c r="G474" s="24">
        <f t="shared" si="14"/>
        <v>57.834000000000003</v>
      </c>
      <c r="H474" s="23" t="s">
        <v>759</v>
      </c>
      <c r="I474" s="23" t="s">
        <v>760</v>
      </c>
      <c r="J474" s="23" t="str">
        <f t="shared" si="15"/>
        <v>OK</v>
      </c>
      <c r="K474" s="23"/>
    </row>
    <row r="475" spans="1:11" x14ac:dyDescent="0.25">
      <c r="A475" s="23" t="s">
        <v>1237</v>
      </c>
      <c r="B475" s="23">
        <v>958</v>
      </c>
      <c r="C475" s="23">
        <v>959</v>
      </c>
      <c r="D475" s="23" t="s">
        <v>478</v>
      </c>
      <c r="E475" s="24">
        <v>294.05</v>
      </c>
      <c r="F475" s="25">
        <v>300</v>
      </c>
      <c r="G475" s="24">
        <f t="shared" si="14"/>
        <v>0.98016666666666674</v>
      </c>
      <c r="H475" s="23" t="s">
        <v>759</v>
      </c>
      <c r="I475" s="23" t="s">
        <v>760</v>
      </c>
      <c r="J475" s="23" t="str">
        <f t="shared" si="15"/>
        <v>OK</v>
      </c>
      <c r="K475" s="23"/>
    </row>
    <row r="476" spans="1:11" x14ac:dyDescent="0.25">
      <c r="A476" s="23" t="s">
        <v>1238</v>
      </c>
      <c r="B476" s="23">
        <v>960</v>
      </c>
      <c r="C476" s="23">
        <v>961</v>
      </c>
      <c r="D476" s="23" t="s">
        <v>479</v>
      </c>
      <c r="E476" s="24">
        <v>4888.12</v>
      </c>
      <c r="F476" s="25">
        <v>3570</v>
      </c>
      <c r="G476" s="24">
        <f t="shared" si="14"/>
        <v>1.369221288515406</v>
      </c>
      <c r="H476" s="23" t="s">
        <v>759</v>
      </c>
      <c r="I476" s="23" t="s">
        <v>760</v>
      </c>
      <c r="J476" s="23" t="str">
        <f t="shared" si="15"/>
        <v>OK</v>
      </c>
      <c r="K476" s="23"/>
    </row>
    <row r="477" spans="1:11" x14ac:dyDescent="0.25">
      <c r="A477" s="23" t="s">
        <v>1239</v>
      </c>
      <c r="B477" s="23">
        <v>962</v>
      </c>
      <c r="C477" s="23">
        <v>963</v>
      </c>
      <c r="D477" s="23" t="s">
        <v>480</v>
      </c>
      <c r="E477" s="24">
        <v>87.16</v>
      </c>
      <c r="F477" s="25">
        <v>120</v>
      </c>
      <c r="G477" s="24">
        <f t="shared" si="14"/>
        <v>0.72633333333333328</v>
      </c>
      <c r="H477" s="23" t="s">
        <v>759</v>
      </c>
      <c r="I477" s="23" t="s">
        <v>760</v>
      </c>
      <c r="J477" s="23" t="str">
        <f t="shared" si="15"/>
        <v>OK</v>
      </c>
      <c r="K477" s="23"/>
    </row>
    <row r="478" spans="1:11" x14ac:dyDescent="0.25">
      <c r="A478" s="23" t="s">
        <v>1240</v>
      </c>
      <c r="B478" s="23">
        <v>964</v>
      </c>
      <c r="C478" s="23">
        <v>965</v>
      </c>
      <c r="D478" s="23" t="s">
        <v>481</v>
      </c>
      <c r="E478" s="24">
        <v>251.31</v>
      </c>
      <c r="F478" s="25">
        <v>600</v>
      </c>
      <c r="G478" s="24">
        <f t="shared" si="14"/>
        <v>0.41885</v>
      </c>
      <c r="H478" s="23" t="s">
        <v>759</v>
      </c>
      <c r="I478" s="23" t="s">
        <v>760</v>
      </c>
      <c r="J478" s="23" t="str">
        <f t="shared" si="15"/>
        <v>OK</v>
      </c>
      <c r="K478" s="23"/>
    </row>
    <row r="479" spans="1:11" x14ac:dyDescent="0.25">
      <c r="A479" s="23" t="s">
        <v>1241</v>
      </c>
      <c r="B479" s="23">
        <v>966</v>
      </c>
      <c r="C479" s="23">
        <v>967</v>
      </c>
      <c r="D479" s="23" t="s">
        <v>482</v>
      </c>
      <c r="E479" s="24">
        <v>264.55</v>
      </c>
      <c r="F479" s="25">
        <v>23</v>
      </c>
      <c r="G479" s="24">
        <f t="shared" si="14"/>
        <v>11.502173913043478</v>
      </c>
      <c r="H479" s="23" t="s">
        <v>759</v>
      </c>
      <c r="I479" s="23" t="s">
        <v>760</v>
      </c>
      <c r="J479" s="23" t="str">
        <f t="shared" si="15"/>
        <v>OK</v>
      </c>
      <c r="K479" s="23"/>
    </row>
    <row r="480" spans="1:11" x14ac:dyDescent="0.25">
      <c r="A480" s="23" t="s">
        <v>1242</v>
      </c>
      <c r="B480" s="23">
        <v>968</v>
      </c>
      <c r="C480" s="23">
        <v>969</v>
      </c>
      <c r="D480" s="23" t="s">
        <v>483</v>
      </c>
      <c r="E480" s="24">
        <v>112.06</v>
      </c>
      <c r="F480" s="25">
        <v>270</v>
      </c>
      <c r="G480" s="24">
        <f t="shared" si="14"/>
        <v>0.41503703703703704</v>
      </c>
      <c r="H480" s="23" t="s">
        <v>759</v>
      </c>
      <c r="I480" s="23" t="s">
        <v>760</v>
      </c>
      <c r="J480" s="23" t="str">
        <f t="shared" si="15"/>
        <v>OK</v>
      </c>
      <c r="K480" s="23"/>
    </row>
    <row r="481" spans="1:11" x14ac:dyDescent="0.25">
      <c r="A481" s="23" t="s">
        <v>1243</v>
      </c>
      <c r="B481" s="23">
        <v>970</v>
      </c>
      <c r="C481" s="23">
        <v>971</v>
      </c>
      <c r="D481" s="23" t="s">
        <v>484</v>
      </c>
      <c r="E481" s="24">
        <v>30.43</v>
      </c>
      <c r="F481" s="25">
        <v>10</v>
      </c>
      <c r="G481" s="24">
        <f t="shared" si="14"/>
        <v>3.0430000000000001</v>
      </c>
      <c r="H481" s="23" t="s">
        <v>759</v>
      </c>
      <c r="I481" s="23" t="s">
        <v>760</v>
      </c>
      <c r="J481" s="23" t="str">
        <f t="shared" si="15"/>
        <v>OK</v>
      </c>
      <c r="K481" s="23"/>
    </row>
    <row r="482" spans="1:11" x14ac:dyDescent="0.25">
      <c r="A482" s="23" t="s">
        <v>1244</v>
      </c>
      <c r="B482" s="23">
        <v>972</v>
      </c>
      <c r="C482" s="23">
        <v>973</v>
      </c>
      <c r="D482" s="23" t="s">
        <v>485</v>
      </c>
      <c r="E482" s="24">
        <v>1935.23</v>
      </c>
      <c r="F482" s="25">
        <v>2220</v>
      </c>
      <c r="G482" s="24">
        <f t="shared" si="14"/>
        <v>0.87172522522522522</v>
      </c>
      <c r="H482" s="23" t="s">
        <v>759</v>
      </c>
      <c r="I482" s="23" t="s">
        <v>760</v>
      </c>
      <c r="J482" s="23" t="str">
        <f t="shared" si="15"/>
        <v>OK</v>
      </c>
      <c r="K482" s="23"/>
    </row>
    <row r="483" spans="1:11" x14ac:dyDescent="0.25">
      <c r="A483" s="23" t="s">
        <v>1245</v>
      </c>
      <c r="B483" s="23">
        <v>974</v>
      </c>
      <c r="C483" s="23">
        <v>975</v>
      </c>
      <c r="D483" s="23" t="s">
        <v>486</v>
      </c>
      <c r="E483" s="24">
        <v>129.41999999999999</v>
      </c>
      <c r="F483" s="25">
        <v>50</v>
      </c>
      <c r="G483" s="24">
        <f t="shared" si="14"/>
        <v>2.5883999999999996</v>
      </c>
      <c r="H483" s="23" t="s">
        <v>759</v>
      </c>
      <c r="I483" s="23" t="s">
        <v>760</v>
      </c>
      <c r="J483" s="23" t="str">
        <f t="shared" si="15"/>
        <v>OK</v>
      </c>
      <c r="K483" s="23"/>
    </row>
    <row r="484" spans="1:11" x14ac:dyDescent="0.25">
      <c r="A484" s="23" t="s">
        <v>1246</v>
      </c>
      <c r="B484" s="23">
        <v>976</v>
      </c>
      <c r="C484" s="23">
        <v>977</v>
      </c>
      <c r="D484" s="23" t="s">
        <v>487</v>
      </c>
      <c r="E484" s="24">
        <v>1174.95</v>
      </c>
      <c r="F484" s="25">
        <v>1360</v>
      </c>
      <c r="G484" s="24">
        <f t="shared" si="14"/>
        <v>0.86393382352941184</v>
      </c>
      <c r="H484" s="23" t="s">
        <v>759</v>
      </c>
      <c r="I484" s="23" t="s">
        <v>760</v>
      </c>
      <c r="J484" s="23" t="str">
        <f t="shared" si="15"/>
        <v>OK</v>
      </c>
      <c r="K484" s="23"/>
    </row>
    <row r="485" spans="1:11" x14ac:dyDescent="0.25">
      <c r="A485" s="23" t="s">
        <v>1247</v>
      </c>
      <c r="B485" s="23">
        <v>978</v>
      </c>
      <c r="C485" s="23">
        <v>979</v>
      </c>
      <c r="D485" s="23" t="s">
        <v>488</v>
      </c>
      <c r="E485" s="24">
        <v>313.5</v>
      </c>
      <c r="F485" s="25">
        <v>550</v>
      </c>
      <c r="G485" s="24">
        <f t="shared" si="14"/>
        <v>0.56999999999999995</v>
      </c>
      <c r="H485" s="23" t="s">
        <v>759</v>
      </c>
      <c r="I485" s="23" t="s">
        <v>760</v>
      </c>
      <c r="J485" s="23" t="str">
        <f t="shared" si="15"/>
        <v>OK</v>
      </c>
      <c r="K485" s="23"/>
    </row>
    <row r="486" spans="1:11" x14ac:dyDescent="0.25">
      <c r="A486" s="23" t="s">
        <v>1248</v>
      </c>
      <c r="B486" s="23">
        <v>980</v>
      </c>
      <c r="C486" s="23">
        <v>981</v>
      </c>
      <c r="D486" s="23" t="s">
        <v>489</v>
      </c>
      <c r="E486" s="24">
        <v>756</v>
      </c>
      <c r="F486" s="25">
        <v>1400</v>
      </c>
      <c r="G486" s="24">
        <f t="shared" si="14"/>
        <v>0.54</v>
      </c>
      <c r="H486" s="23" t="s">
        <v>759</v>
      </c>
      <c r="I486" s="23" t="s">
        <v>760</v>
      </c>
      <c r="J486" s="23" t="str">
        <f t="shared" si="15"/>
        <v>OK</v>
      </c>
      <c r="K486" s="23"/>
    </row>
    <row r="487" spans="1:11" x14ac:dyDescent="0.25">
      <c r="A487" s="23" t="s">
        <v>1249</v>
      </c>
      <c r="B487" s="23">
        <v>982</v>
      </c>
      <c r="C487" s="23">
        <v>983</v>
      </c>
      <c r="D487" s="23" t="s">
        <v>490</v>
      </c>
      <c r="E487" s="24">
        <v>1311.48</v>
      </c>
      <c r="F487" s="25">
        <v>2230</v>
      </c>
      <c r="G487" s="24">
        <f t="shared" si="14"/>
        <v>0.58810762331838562</v>
      </c>
      <c r="H487" s="23" t="s">
        <v>759</v>
      </c>
      <c r="I487" s="23" t="s">
        <v>760</v>
      </c>
      <c r="J487" s="23" t="str">
        <f t="shared" si="15"/>
        <v>OK</v>
      </c>
      <c r="K487" s="23"/>
    </row>
    <row r="488" spans="1:11" x14ac:dyDescent="0.25">
      <c r="A488" s="23" t="s">
        <v>1250</v>
      </c>
      <c r="B488" s="23">
        <v>984</v>
      </c>
      <c r="C488" s="23">
        <v>985</v>
      </c>
      <c r="D488" s="23" t="s">
        <v>491</v>
      </c>
      <c r="E488" s="24">
        <v>552</v>
      </c>
      <c r="F488" s="25">
        <v>1000</v>
      </c>
      <c r="G488" s="24">
        <f t="shared" si="14"/>
        <v>0.55200000000000005</v>
      </c>
      <c r="H488" s="23" t="s">
        <v>759</v>
      </c>
      <c r="I488" s="23" t="s">
        <v>760</v>
      </c>
      <c r="J488" s="23" t="str">
        <f t="shared" si="15"/>
        <v>OK</v>
      </c>
      <c r="K488" s="23"/>
    </row>
    <row r="489" spans="1:11" x14ac:dyDescent="0.25">
      <c r="A489" s="23" t="s">
        <v>1251</v>
      </c>
      <c r="B489" s="23">
        <v>986</v>
      </c>
      <c r="C489" s="23">
        <v>987</v>
      </c>
      <c r="D489" s="23" t="s">
        <v>492</v>
      </c>
      <c r="E489" s="24">
        <v>29</v>
      </c>
      <c r="F489" s="25">
        <v>50</v>
      </c>
      <c r="G489" s="24">
        <f t="shared" si="14"/>
        <v>0.57999999999999996</v>
      </c>
      <c r="H489" s="23" t="s">
        <v>759</v>
      </c>
      <c r="I489" s="23" t="s">
        <v>760</v>
      </c>
      <c r="J489" s="23" t="str">
        <f t="shared" si="15"/>
        <v>OK</v>
      </c>
      <c r="K489" s="23"/>
    </row>
    <row r="490" spans="1:11" x14ac:dyDescent="0.25">
      <c r="A490" s="23" t="s">
        <v>1252</v>
      </c>
      <c r="B490" s="23">
        <v>988</v>
      </c>
      <c r="C490" s="23">
        <v>989</v>
      </c>
      <c r="D490" s="23" t="s">
        <v>493</v>
      </c>
      <c r="E490" s="24">
        <v>540</v>
      </c>
      <c r="F490" s="25">
        <v>1000</v>
      </c>
      <c r="G490" s="24">
        <f t="shared" si="14"/>
        <v>0.54</v>
      </c>
      <c r="H490" s="23" t="s">
        <v>759</v>
      </c>
      <c r="I490" s="23" t="s">
        <v>760</v>
      </c>
      <c r="J490" s="23" t="str">
        <f t="shared" si="15"/>
        <v>OK</v>
      </c>
      <c r="K490" s="23"/>
    </row>
    <row r="491" spans="1:11" x14ac:dyDescent="0.25">
      <c r="A491" s="23" t="s">
        <v>1253</v>
      </c>
      <c r="B491" s="23">
        <v>990</v>
      </c>
      <c r="C491" s="23">
        <v>991</v>
      </c>
      <c r="D491" s="23" t="s">
        <v>494</v>
      </c>
      <c r="E491" s="24">
        <v>2694.68</v>
      </c>
      <c r="F491" s="25">
        <v>4830</v>
      </c>
      <c r="G491" s="24">
        <f t="shared" si="14"/>
        <v>0.5579047619047619</v>
      </c>
      <c r="H491" s="23" t="s">
        <v>759</v>
      </c>
      <c r="I491" s="23" t="s">
        <v>760</v>
      </c>
      <c r="J491" s="23" t="str">
        <f t="shared" si="15"/>
        <v>OK</v>
      </c>
      <c r="K491" s="23"/>
    </row>
    <row r="492" spans="1:11" x14ac:dyDescent="0.25">
      <c r="A492" s="23" t="s">
        <v>1254</v>
      </c>
      <c r="B492" s="23">
        <v>992</v>
      </c>
      <c r="C492" s="23">
        <v>993</v>
      </c>
      <c r="D492" s="23" t="s">
        <v>495</v>
      </c>
      <c r="E492" s="24">
        <v>902.8</v>
      </c>
      <c r="F492" s="25">
        <v>1660</v>
      </c>
      <c r="G492" s="24">
        <f t="shared" si="14"/>
        <v>0.54385542168674694</v>
      </c>
      <c r="H492" s="23" t="s">
        <v>759</v>
      </c>
      <c r="I492" s="23" t="s">
        <v>760</v>
      </c>
      <c r="J492" s="23" t="str">
        <f t="shared" si="15"/>
        <v>OK</v>
      </c>
      <c r="K492" s="23"/>
    </row>
    <row r="493" spans="1:11" x14ac:dyDescent="0.25">
      <c r="A493" s="23" t="s">
        <v>1255</v>
      </c>
      <c r="B493" s="23">
        <v>994</v>
      </c>
      <c r="C493" s="23">
        <v>995</v>
      </c>
      <c r="D493" s="23" t="s">
        <v>496</v>
      </c>
      <c r="E493" s="24">
        <v>44.14</v>
      </c>
      <c r="F493" s="25">
        <v>10</v>
      </c>
      <c r="G493" s="24">
        <f t="shared" si="14"/>
        <v>4.4139999999999997</v>
      </c>
      <c r="H493" s="23" t="s">
        <v>759</v>
      </c>
      <c r="I493" s="23" t="s">
        <v>760</v>
      </c>
      <c r="J493" s="23" t="str">
        <f t="shared" si="15"/>
        <v>OK</v>
      </c>
      <c r="K493" s="23"/>
    </row>
    <row r="494" spans="1:11" x14ac:dyDescent="0.25">
      <c r="A494" s="23" t="s">
        <v>1256</v>
      </c>
      <c r="B494" s="23">
        <v>996</v>
      </c>
      <c r="C494" s="23">
        <v>997</v>
      </c>
      <c r="D494" s="23" t="s">
        <v>497</v>
      </c>
      <c r="E494" s="24">
        <v>995.13</v>
      </c>
      <c r="F494" s="25">
        <v>24</v>
      </c>
      <c r="G494" s="24">
        <f t="shared" si="14"/>
        <v>41.463749999999997</v>
      </c>
      <c r="H494" s="23" t="s">
        <v>759</v>
      </c>
      <c r="I494" s="23" t="s">
        <v>760</v>
      </c>
      <c r="J494" s="23" t="str">
        <f t="shared" si="15"/>
        <v>OK</v>
      </c>
      <c r="K494" s="23"/>
    </row>
    <row r="495" spans="1:11" x14ac:dyDescent="0.25">
      <c r="A495" s="23" t="s">
        <v>1257</v>
      </c>
      <c r="B495" s="23">
        <v>998</v>
      </c>
      <c r="C495" s="23">
        <v>999</v>
      </c>
      <c r="D495" s="23" t="s">
        <v>498</v>
      </c>
      <c r="E495" s="24">
        <v>1206.19</v>
      </c>
      <c r="F495" s="25">
        <v>1260</v>
      </c>
      <c r="G495" s="24">
        <f t="shared" si="14"/>
        <v>0.95729365079365081</v>
      </c>
      <c r="H495" s="23" t="s">
        <v>759</v>
      </c>
      <c r="I495" s="23" t="s">
        <v>760</v>
      </c>
      <c r="J495" s="23" t="str">
        <f t="shared" si="15"/>
        <v>OK</v>
      </c>
      <c r="K495" s="23"/>
    </row>
    <row r="496" spans="1:11" x14ac:dyDescent="0.25">
      <c r="A496" s="23" t="s">
        <v>1258</v>
      </c>
      <c r="B496" s="23">
        <v>1000</v>
      </c>
      <c r="C496" s="23">
        <v>1001</v>
      </c>
      <c r="D496" s="23" t="s">
        <v>499</v>
      </c>
      <c r="E496" s="24">
        <v>289.14999999999998</v>
      </c>
      <c r="F496" s="25">
        <v>150</v>
      </c>
      <c r="G496" s="24">
        <f t="shared" si="14"/>
        <v>1.9276666666666664</v>
      </c>
      <c r="H496" s="23" t="s">
        <v>759</v>
      </c>
      <c r="I496" s="23" t="s">
        <v>760</v>
      </c>
      <c r="J496" s="23" t="str">
        <f t="shared" si="15"/>
        <v>OK</v>
      </c>
      <c r="K496" s="23"/>
    </row>
    <row r="497" spans="1:11" x14ac:dyDescent="0.25">
      <c r="A497" s="23" t="s">
        <v>1259</v>
      </c>
      <c r="B497" s="23">
        <v>1002</v>
      </c>
      <c r="C497" s="23">
        <v>1003</v>
      </c>
      <c r="D497" s="23" t="s">
        <v>500</v>
      </c>
      <c r="E497" s="24">
        <v>2857.77</v>
      </c>
      <c r="F497" s="25">
        <v>835</v>
      </c>
      <c r="G497" s="24">
        <f t="shared" si="14"/>
        <v>3.4224790419161675</v>
      </c>
      <c r="H497" s="23" t="s">
        <v>759</v>
      </c>
      <c r="I497" s="23" t="s">
        <v>760</v>
      </c>
      <c r="J497" s="23" t="str">
        <f t="shared" si="15"/>
        <v>OK</v>
      </c>
      <c r="K497" s="23"/>
    </row>
    <row r="498" spans="1:11" x14ac:dyDescent="0.25">
      <c r="A498" s="23" t="s">
        <v>1260</v>
      </c>
      <c r="B498" s="23">
        <v>1004</v>
      </c>
      <c r="C498" s="23">
        <v>1005</v>
      </c>
      <c r="D498" s="23" t="s">
        <v>501</v>
      </c>
      <c r="E498" s="24">
        <v>2617.98</v>
      </c>
      <c r="F498" s="25">
        <v>43</v>
      </c>
      <c r="G498" s="24">
        <f t="shared" si="14"/>
        <v>60.88325581395349</v>
      </c>
      <c r="H498" s="23" t="s">
        <v>759</v>
      </c>
      <c r="I498" s="23" t="s">
        <v>760</v>
      </c>
      <c r="J498" s="23" t="str">
        <f t="shared" si="15"/>
        <v>OK</v>
      </c>
      <c r="K498" s="23"/>
    </row>
    <row r="499" spans="1:11" x14ac:dyDescent="0.25">
      <c r="A499" s="23" t="s">
        <v>1261</v>
      </c>
      <c r="B499" s="23">
        <v>1006</v>
      </c>
      <c r="C499" s="23">
        <v>1007</v>
      </c>
      <c r="D499" s="23" t="s">
        <v>502</v>
      </c>
      <c r="E499" s="24">
        <v>40876.81</v>
      </c>
      <c r="F499" s="25">
        <v>25070</v>
      </c>
      <c r="G499" s="24">
        <f t="shared" si="14"/>
        <v>1.6305069804547268</v>
      </c>
      <c r="H499" s="23" t="s">
        <v>759</v>
      </c>
      <c r="I499" s="23" t="s">
        <v>760</v>
      </c>
      <c r="J499" s="23" t="str">
        <f t="shared" si="15"/>
        <v>OK</v>
      </c>
      <c r="K499" s="23"/>
    </row>
    <row r="500" spans="1:11" x14ac:dyDescent="0.25">
      <c r="A500" s="23" t="s">
        <v>1262</v>
      </c>
      <c r="B500" s="23">
        <v>1008</v>
      </c>
      <c r="C500" s="23">
        <v>1009</v>
      </c>
      <c r="D500" s="23" t="s">
        <v>503</v>
      </c>
      <c r="E500" s="24">
        <v>199.49</v>
      </c>
      <c r="F500" s="25">
        <v>17</v>
      </c>
      <c r="G500" s="24">
        <f t="shared" si="14"/>
        <v>11.734705882352941</v>
      </c>
      <c r="H500" s="23" t="s">
        <v>759</v>
      </c>
      <c r="I500" s="23" t="s">
        <v>760</v>
      </c>
      <c r="J500" s="23" t="str">
        <f t="shared" si="15"/>
        <v>OK</v>
      </c>
      <c r="K500" s="23"/>
    </row>
    <row r="501" spans="1:11" x14ac:dyDescent="0.25">
      <c r="A501" s="23" t="s">
        <v>1263</v>
      </c>
      <c r="B501" s="23">
        <v>1010</v>
      </c>
      <c r="C501" s="23">
        <v>1011</v>
      </c>
      <c r="D501" s="23" t="s">
        <v>504</v>
      </c>
      <c r="E501" s="24">
        <v>51.76</v>
      </c>
      <c r="F501" s="25">
        <v>4</v>
      </c>
      <c r="G501" s="24">
        <f t="shared" si="14"/>
        <v>12.94</v>
      </c>
      <c r="H501" s="23" t="s">
        <v>759</v>
      </c>
      <c r="I501" s="23" t="s">
        <v>760</v>
      </c>
      <c r="J501" s="23" t="str">
        <f t="shared" si="15"/>
        <v>OK</v>
      </c>
      <c r="K501" s="23"/>
    </row>
    <row r="502" spans="1:11" x14ac:dyDescent="0.25">
      <c r="A502" s="23" t="s">
        <v>1264</v>
      </c>
      <c r="B502" s="23">
        <v>1012</v>
      </c>
      <c r="C502" s="23">
        <v>1013</v>
      </c>
      <c r="D502" s="23" t="s">
        <v>505</v>
      </c>
      <c r="E502" s="24">
        <v>945.34</v>
      </c>
      <c r="F502" s="25">
        <v>300</v>
      </c>
      <c r="G502" s="24">
        <f t="shared" si="14"/>
        <v>3.1511333333333336</v>
      </c>
      <c r="H502" s="23" t="s">
        <v>759</v>
      </c>
      <c r="I502" s="23" t="s">
        <v>760</v>
      </c>
      <c r="J502" s="23" t="str">
        <f t="shared" si="15"/>
        <v>OK</v>
      </c>
      <c r="K502" s="23"/>
    </row>
    <row r="503" spans="1:11" x14ac:dyDescent="0.25">
      <c r="A503" s="23" t="s">
        <v>1265</v>
      </c>
      <c r="B503" s="23">
        <v>1014</v>
      </c>
      <c r="C503" s="23">
        <v>1015</v>
      </c>
      <c r="D503" s="23" t="s">
        <v>1266</v>
      </c>
      <c r="E503" s="24">
        <v>680.94</v>
      </c>
      <c r="F503" s="25">
        <v>130</v>
      </c>
      <c r="G503" s="24">
        <f t="shared" si="14"/>
        <v>5.2380000000000004</v>
      </c>
      <c r="H503" s="23" t="s">
        <v>759</v>
      </c>
      <c r="I503" s="23" t="s">
        <v>760</v>
      </c>
      <c r="J503" s="23" t="str">
        <f t="shared" si="15"/>
        <v>OK</v>
      </c>
      <c r="K503" s="23"/>
    </row>
    <row r="504" spans="1:11" x14ac:dyDescent="0.25">
      <c r="A504" s="23" t="s">
        <v>1267</v>
      </c>
      <c r="B504" s="23">
        <v>1016</v>
      </c>
      <c r="C504" s="23">
        <v>1017</v>
      </c>
      <c r="D504" s="23" t="s">
        <v>507</v>
      </c>
      <c r="E504" s="24">
        <v>261.89999999999998</v>
      </c>
      <c r="F504" s="25">
        <v>50</v>
      </c>
      <c r="G504" s="24">
        <f t="shared" si="14"/>
        <v>5.2379999999999995</v>
      </c>
      <c r="H504" s="23" t="s">
        <v>759</v>
      </c>
      <c r="I504" s="23" t="s">
        <v>760</v>
      </c>
      <c r="J504" s="23" t="str">
        <f t="shared" si="15"/>
        <v>OK</v>
      </c>
      <c r="K504" s="23"/>
    </row>
    <row r="505" spans="1:11" x14ac:dyDescent="0.25">
      <c r="A505" s="23" t="s">
        <v>1268</v>
      </c>
      <c r="B505" s="23">
        <v>1018</v>
      </c>
      <c r="C505" s="23">
        <v>1019</v>
      </c>
      <c r="D505" s="23" t="s">
        <v>508</v>
      </c>
      <c r="E505" s="24">
        <v>717.52</v>
      </c>
      <c r="F505" s="25">
        <v>80</v>
      </c>
      <c r="G505" s="24">
        <f t="shared" si="14"/>
        <v>8.9689999999999994</v>
      </c>
      <c r="H505" s="23" t="s">
        <v>759</v>
      </c>
      <c r="I505" s="23" t="s">
        <v>760</v>
      </c>
      <c r="J505" s="23" t="str">
        <f t="shared" si="15"/>
        <v>OK</v>
      </c>
      <c r="K505" s="23"/>
    </row>
    <row r="506" spans="1:11" x14ac:dyDescent="0.25">
      <c r="A506" s="23" t="s">
        <v>1269</v>
      </c>
      <c r="B506" s="23">
        <v>1020</v>
      </c>
      <c r="C506" s="23">
        <v>1021</v>
      </c>
      <c r="D506" s="23" t="s">
        <v>509</v>
      </c>
      <c r="E506" s="24">
        <v>599.6</v>
      </c>
      <c r="F506" s="25">
        <v>40</v>
      </c>
      <c r="G506" s="24">
        <f t="shared" si="14"/>
        <v>14.99</v>
      </c>
      <c r="H506" s="23" t="s">
        <v>759</v>
      </c>
      <c r="I506" s="23" t="s">
        <v>760</v>
      </c>
      <c r="J506" s="23" t="str">
        <f t="shared" si="15"/>
        <v>OK</v>
      </c>
      <c r="K506" s="23"/>
    </row>
    <row r="507" spans="1:11" x14ac:dyDescent="0.25">
      <c r="A507" s="23" t="s">
        <v>1270</v>
      </c>
      <c r="B507" s="23">
        <v>1022</v>
      </c>
      <c r="C507" s="23">
        <v>1023</v>
      </c>
      <c r="D507" s="23" t="s">
        <v>510</v>
      </c>
      <c r="E507" s="24">
        <v>5150.57</v>
      </c>
      <c r="F507" s="25">
        <v>552</v>
      </c>
      <c r="G507" s="24">
        <f t="shared" si="14"/>
        <v>9.3307427536231877</v>
      </c>
      <c r="H507" s="23" t="s">
        <v>759</v>
      </c>
      <c r="I507" s="23" t="s">
        <v>760</v>
      </c>
      <c r="J507" s="23" t="str">
        <f t="shared" si="15"/>
        <v>OK</v>
      </c>
      <c r="K507" s="23"/>
    </row>
    <row r="508" spans="1:11" x14ac:dyDescent="0.25">
      <c r="A508" s="23" t="s">
        <v>1271</v>
      </c>
      <c r="B508" s="23">
        <v>1024</v>
      </c>
      <c r="C508" s="23">
        <v>1025</v>
      </c>
      <c r="D508" s="23" t="s">
        <v>511</v>
      </c>
      <c r="E508" s="24">
        <v>3679.03</v>
      </c>
      <c r="F508" s="25">
        <v>90</v>
      </c>
      <c r="G508" s="24">
        <f t="shared" si="14"/>
        <v>40.87811111111111</v>
      </c>
      <c r="H508" s="23" t="s">
        <v>759</v>
      </c>
      <c r="I508" s="23" t="s">
        <v>760</v>
      </c>
      <c r="J508" s="23" t="str">
        <f t="shared" si="15"/>
        <v>OK</v>
      </c>
      <c r="K508" s="23"/>
    </row>
    <row r="509" spans="1:11" x14ac:dyDescent="0.25">
      <c r="A509" s="23" t="s">
        <v>1272</v>
      </c>
      <c r="B509" s="23">
        <v>1026</v>
      </c>
      <c r="C509" s="23">
        <v>1027</v>
      </c>
      <c r="D509" s="23" t="s">
        <v>512</v>
      </c>
      <c r="E509" s="24">
        <v>1181.52</v>
      </c>
      <c r="F509" s="25">
        <v>100</v>
      </c>
      <c r="G509" s="24">
        <f t="shared" si="14"/>
        <v>11.815199999999999</v>
      </c>
      <c r="H509" s="23" t="s">
        <v>759</v>
      </c>
      <c r="I509" s="23" t="s">
        <v>760</v>
      </c>
      <c r="J509" s="23" t="str">
        <f t="shared" si="15"/>
        <v>OK</v>
      </c>
      <c r="K509" s="23"/>
    </row>
    <row r="510" spans="1:11" x14ac:dyDescent="0.25">
      <c r="A510" s="23" t="s">
        <v>1273</v>
      </c>
      <c r="B510" s="23">
        <v>1028</v>
      </c>
      <c r="C510" s="23">
        <v>1029</v>
      </c>
      <c r="D510" s="23" t="s">
        <v>513</v>
      </c>
      <c r="E510" s="24">
        <v>816.2</v>
      </c>
      <c r="F510" s="25">
        <v>690</v>
      </c>
      <c r="G510" s="24">
        <f t="shared" si="14"/>
        <v>1.1828985507246377</v>
      </c>
      <c r="H510" s="23" t="s">
        <v>759</v>
      </c>
      <c r="I510" s="23" t="s">
        <v>760</v>
      </c>
      <c r="J510" s="23" t="str">
        <f t="shared" si="15"/>
        <v>OK</v>
      </c>
      <c r="K510" s="23"/>
    </row>
    <row r="511" spans="1:11" x14ac:dyDescent="0.25">
      <c r="A511" s="23" t="s">
        <v>1274</v>
      </c>
      <c r="B511" s="23">
        <v>1030</v>
      </c>
      <c r="C511" s="23">
        <v>1031</v>
      </c>
      <c r="D511" s="23" t="s">
        <v>514</v>
      </c>
      <c r="E511" s="24">
        <v>213.84</v>
      </c>
      <c r="F511" s="25">
        <v>9</v>
      </c>
      <c r="G511" s="24">
        <f t="shared" si="14"/>
        <v>23.76</v>
      </c>
      <c r="H511" s="23" t="s">
        <v>759</v>
      </c>
      <c r="I511" s="23" t="s">
        <v>760</v>
      </c>
      <c r="J511" s="23" t="str">
        <f t="shared" si="15"/>
        <v>OK</v>
      </c>
      <c r="K511" s="23"/>
    </row>
    <row r="512" spans="1:11" x14ac:dyDescent="0.25">
      <c r="A512" s="23" t="s">
        <v>1275</v>
      </c>
      <c r="B512" s="23">
        <v>1032</v>
      </c>
      <c r="C512" s="23">
        <v>1033</v>
      </c>
      <c r="D512" s="23" t="s">
        <v>515</v>
      </c>
      <c r="E512" s="24">
        <v>472.5</v>
      </c>
      <c r="F512" s="25">
        <v>250</v>
      </c>
      <c r="G512" s="24">
        <f t="shared" si="14"/>
        <v>1.89</v>
      </c>
      <c r="H512" s="23" t="s">
        <v>759</v>
      </c>
      <c r="I512" s="23" t="s">
        <v>760</v>
      </c>
      <c r="J512" s="23" t="str">
        <f t="shared" si="15"/>
        <v>OK</v>
      </c>
      <c r="K512" s="23"/>
    </row>
    <row r="513" spans="1:11" x14ac:dyDescent="0.25">
      <c r="A513" s="23" t="s">
        <v>1276</v>
      </c>
      <c r="B513" s="23">
        <v>1034</v>
      </c>
      <c r="C513" s="23">
        <v>1035</v>
      </c>
      <c r="D513" s="23" t="s">
        <v>516</v>
      </c>
      <c r="E513" s="24">
        <v>54.96</v>
      </c>
      <c r="F513" s="25">
        <v>100</v>
      </c>
      <c r="G513" s="24">
        <f t="shared" si="14"/>
        <v>0.54959999999999998</v>
      </c>
      <c r="H513" s="23" t="s">
        <v>759</v>
      </c>
      <c r="I513" s="23" t="s">
        <v>760</v>
      </c>
      <c r="J513" s="23" t="str">
        <f t="shared" si="15"/>
        <v>OK</v>
      </c>
      <c r="K513" s="23"/>
    </row>
    <row r="514" spans="1:11" x14ac:dyDescent="0.25">
      <c r="A514" s="23" t="s">
        <v>1277</v>
      </c>
      <c r="B514" s="23">
        <v>1036</v>
      </c>
      <c r="C514" s="23">
        <v>1037</v>
      </c>
      <c r="D514" s="23" t="s">
        <v>517</v>
      </c>
      <c r="E514" s="24">
        <v>192.31</v>
      </c>
      <c r="F514" s="25">
        <v>600</v>
      </c>
      <c r="G514" s="24">
        <f t="shared" ref="G514:G577" si="16">IFERROR(E514/F514,"")</f>
        <v>0.32051666666666667</v>
      </c>
      <c r="H514" s="23" t="s">
        <v>759</v>
      </c>
      <c r="I514" s="23" t="s">
        <v>760</v>
      </c>
      <c r="J514" s="23" t="str">
        <f t="shared" ref="J514:J577" si="17">IF(OR(E514="",F514=""),"LIPSESC DATE",IF(F514=0,"CANTITATE 0","OK"))</f>
        <v>OK</v>
      </c>
      <c r="K514" s="23"/>
    </row>
    <row r="515" spans="1:11" x14ac:dyDescent="0.25">
      <c r="A515" s="23" t="s">
        <v>1278</v>
      </c>
      <c r="B515" s="23">
        <v>1038</v>
      </c>
      <c r="C515" s="23">
        <v>1039</v>
      </c>
      <c r="D515" s="23" t="s">
        <v>518</v>
      </c>
      <c r="E515" s="24">
        <v>3807</v>
      </c>
      <c r="F515" s="25">
        <v>150</v>
      </c>
      <c r="G515" s="24">
        <f t="shared" si="16"/>
        <v>25.38</v>
      </c>
      <c r="H515" s="23" t="s">
        <v>759</v>
      </c>
      <c r="I515" s="23" t="s">
        <v>760</v>
      </c>
      <c r="J515" s="23" t="str">
        <f t="shared" si="17"/>
        <v>OK</v>
      </c>
      <c r="K515" s="23"/>
    </row>
    <row r="516" spans="1:11" x14ac:dyDescent="0.25">
      <c r="A516" s="23" t="s">
        <v>1279</v>
      </c>
      <c r="B516" s="23">
        <v>1040</v>
      </c>
      <c r="C516" s="23">
        <v>1041</v>
      </c>
      <c r="D516" s="23" t="s">
        <v>519</v>
      </c>
      <c r="E516" s="24">
        <v>479.21</v>
      </c>
      <c r="F516" s="25">
        <v>11</v>
      </c>
      <c r="G516" s="24">
        <f t="shared" si="16"/>
        <v>43.564545454545453</v>
      </c>
      <c r="H516" s="23" t="s">
        <v>759</v>
      </c>
      <c r="I516" s="23" t="s">
        <v>760</v>
      </c>
      <c r="J516" s="23" t="str">
        <f t="shared" si="17"/>
        <v>OK</v>
      </c>
      <c r="K516" s="23"/>
    </row>
    <row r="517" spans="1:11" x14ac:dyDescent="0.25">
      <c r="A517" s="23" t="s">
        <v>1280</v>
      </c>
      <c r="B517" s="23">
        <v>1042</v>
      </c>
      <c r="C517" s="23">
        <v>1043</v>
      </c>
      <c r="D517" s="23" t="s">
        <v>520</v>
      </c>
      <c r="E517" s="24">
        <v>924.17</v>
      </c>
      <c r="F517" s="25">
        <v>990</v>
      </c>
      <c r="G517" s="24">
        <f t="shared" si="16"/>
        <v>0.9335050505050505</v>
      </c>
      <c r="H517" s="23" t="s">
        <v>759</v>
      </c>
      <c r="I517" s="23" t="s">
        <v>760</v>
      </c>
      <c r="J517" s="23" t="str">
        <f t="shared" si="17"/>
        <v>OK</v>
      </c>
      <c r="K517" s="23"/>
    </row>
    <row r="518" spans="1:11" x14ac:dyDescent="0.25">
      <c r="A518" s="23" t="s">
        <v>1281</v>
      </c>
      <c r="B518" s="23">
        <v>1044</v>
      </c>
      <c r="C518" s="23">
        <v>1045</v>
      </c>
      <c r="D518" s="23" t="s">
        <v>521</v>
      </c>
      <c r="E518" s="24">
        <v>1344.72</v>
      </c>
      <c r="F518" s="25">
        <v>560</v>
      </c>
      <c r="G518" s="24">
        <f t="shared" si="16"/>
        <v>2.4012857142857142</v>
      </c>
      <c r="H518" s="23" t="s">
        <v>759</v>
      </c>
      <c r="I518" s="23" t="s">
        <v>760</v>
      </c>
      <c r="J518" s="23" t="str">
        <f t="shared" si="17"/>
        <v>OK</v>
      </c>
      <c r="K518" s="23"/>
    </row>
    <row r="519" spans="1:11" x14ac:dyDescent="0.25">
      <c r="A519" s="23" t="s">
        <v>1282</v>
      </c>
      <c r="B519" s="23">
        <v>1046</v>
      </c>
      <c r="C519" s="23">
        <v>1047</v>
      </c>
      <c r="D519" s="23" t="s">
        <v>522</v>
      </c>
      <c r="E519" s="24">
        <v>2006.78</v>
      </c>
      <c r="F519" s="25">
        <v>24</v>
      </c>
      <c r="G519" s="24">
        <f t="shared" si="16"/>
        <v>83.615833333333327</v>
      </c>
      <c r="H519" s="23" t="s">
        <v>759</v>
      </c>
      <c r="I519" s="23" t="s">
        <v>760</v>
      </c>
      <c r="J519" s="23" t="str">
        <f t="shared" si="17"/>
        <v>OK</v>
      </c>
      <c r="K519" s="23"/>
    </row>
    <row r="520" spans="1:11" x14ac:dyDescent="0.25">
      <c r="A520" s="23" t="s">
        <v>1283</v>
      </c>
      <c r="B520" s="23">
        <v>1048</v>
      </c>
      <c r="C520" s="23">
        <v>1049</v>
      </c>
      <c r="D520" s="23" t="s">
        <v>523</v>
      </c>
      <c r="E520" s="24">
        <v>8119.26</v>
      </c>
      <c r="F520" s="25">
        <v>6160</v>
      </c>
      <c r="G520" s="24">
        <f t="shared" si="16"/>
        <v>1.3180616883116882</v>
      </c>
      <c r="H520" s="23" t="s">
        <v>759</v>
      </c>
      <c r="I520" s="23" t="s">
        <v>760</v>
      </c>
      <c r="J520" s="23" t="str">
        <f t="shared" si="17"/>
        <v>OK</v>
      </c>
      <c r="K520" s="23"/>
    </row>
    <row r="521" spans="1:11" x14ac:dyDescent="0.25">
      <c r="A521" s="23" t="s">
        <v>1284</v>
      </c>
      <c r="B521" s="23">
        <v>1050</v>
      </c>
      <c r="C521" s="23">
        <v>1051</v>
      </c>
      <c r="D521" s="23" t="s">
        <v>524</v>
      </c>
      <c r="E521" s="24">
        <v>652.02</v>
      </c>
      <c r="F521" s="25">
        <v>300</v>
      </c>
      <c r="G521" s="24">
        <f t="shared" si="16"/>
        <v>2.1734</v>
      </c>
      <c r="H521" s="23" t="s">
        <v>759</v>
      </c>
      <c r="I521" s="23" t="s">
        <v>760</v>
      </c>
      <c r="J521" s="23" t="str">
        <f t="shared" si="17"/>
        <v>OK</v>
      </c>
      <c r="K521" s="23"/>
    </row>
    <row r="522" spans="1:11" x14ac:dyDescent="0.25">
      <c r="A522" s="23" t="s">
        <v>1285</v>
      </c>
      <c r="B522" s="23">
        <v>1052</v>
      </c>
      <c r="C522" s="23">
        <v>1053</v>
      </c>
      <c r="D522" s="23" t="s">
        <v>525</v>
      </c>
      <c r="E522" s="24">
        <v>2296.14</v>
      </c>
      <c r="F522" s="25">
        <v>110</v>
      </c>
      <c r="G522" s="24">
        <f t="shared" si="16"/>
        <v>20.873999999999999</v>
      </c>
      <c r="H522" s="23" t="s">
        <v>759</v>
      </c>
      <c r="I522" s="23" t="s">
        <v>760</v>
      </c>
      <c r="J522" s="23" t="str">
        <f t="shared" si="17"/>
        <v>OK</v>
      </c>
      <c r="K522" s="23"/>
    </row>
    <row r="523" spans="1:11" x14ac:dyDescent="0.25">
      <c r="A523" s="23" t="s">
        <v>1286</v>
      </c>
      <c r="B523" s="23">
        <v>1054</v>
      </c>
      <c r="C523" s="23">
        <v>1055</v>
      </c>
      <c r="D523" s="23" t="s">
        <v>526</v>
      </c>
      <c r="E523" s="24">
        <v>856.56</v>
      </c>
      <c r="F523" s="25">
        <v>30</v>
      </c>
      <c r="G523" s="24">
        <f t="shared" si="16"/>
        <v>28.552</v>
      </c>
      <c r="H523" s="23" t="s">
        <v>759</v>
      </c>
      <c r="I523" s="23" t="s">
        <v>760</v>
      </c>
      <c r="J523" s="23" t="str">
        <f t="shared" si="17"/>
        <v>OK</v>
      </c>
      <c r="K523" s="23"/>
    </row>
    <row r="524" spans="1:11" x14ac:dyDescent="0.25">
      <c r="A524" s="23" t="s">
        <v>1287</v>
      </c>
      <c r="B524" s="23">
        <v>1056</v>
      </c>
      <c r="C524" s="23">
        <v>1057</v>
      </c>
      <c r="D524" s="23" t="s">
        <v>527</v>
      </c>
      <c r="E524" s="24">
        <v>2443.13</v>
      </c>
      <c r="F524" s="25">
        <v>7560</v>
      </c>
      <c r="G524" s="24">
        <f t="shared" si="16"/>
        <v>0.32316534391534391</v>
      </c>
      <c r="H524" s="23" t="s">
        <v>759</v>
      </c>
      <c r="I524" s="23" t="s">
        <v>760</v>
      </c>
      <c r="J524" s="23" t="str">
        <f t="shared" si="17"/>
        <v>OK</v>
      </c>
      <c r="K524" s="23"/>
    </row>
    <row r="525" spans="1:11" x14ac:dyDescent="0.25">
      <c r="A525" s="23" t="s">
        <v>1288</v>
      </c>
      <c r="B525" s="23">
        <v>1058</v>
      </c>
      <c r="C525" s="23">
        <v>1059</v>
      </c>
      <c r="D525" s="23" t="s">
        <v>528</v>
      </c>
      <c r="E525" s="24">
        <v>11501.66</v>
      </c>
      <c r="F525" s="25">
        <v>1160</v>
      </c>
      <c r="G525" s="24">
        <f t="shared" si="16"/>
        <v>9.915224137931034</v>
      </c>
      <c r="H525" s="23" t="s">
        <v>759</v>
      </c>
      <c r="I525" s="23" t="s">
        <v>760</v>
      </c>
      <c r="J525" s="23" t="str">
        <f t="shared" si="17"/>
        <v>OK</v>
      </c>
      <c r="K525" s="23"/>
    </row>
    <row r="526" spans="1:11" x14ac:dyDescent="0.25">
      <c r="A526" s="23" t="s">
        <v>1289</v>
      </c>
      <c r="B526" s="23">
        <v>1060</v>
      </c>
      <c r="C526" s="23">
        <v>1061</v>
      </c>
      <c r="D526" s="23" t="s">
        <v>529</v>
      </c>
      <c r="E526" s="24">
        <v>2521.31</v>
      </c>
      <c r="F526" s="25">
        <v>290</v>
      </c>
      <c r="G526" s="24">
        <f t="shared" si="16"/>
        <v>8.6941724137931029</v>
      </c>
      <c r="H526" s="23" t="s">
        <v>759</v>
      </c>
      <c r="I526" s="23" t="s">
        <v>760</v>
      </c>
      <c r="J526" s="23" t="str">
        <f t="shared" si="17"/>
        <v>OK</v>
      </c>
      <c r="K526" s="23"/>
    </row>
    <row r="527" spans="1:11" x14ac:dyDescent="0.25">
      <c r="A527" s="23" t="s">
        <v>1290</v>
      </c>
      <c r="B527" s="23">
        <v>1062</v>
      </c>
      <c r="C527" s="23">
        <v>1063</v>
      </c>
      <c r="D527" s="23" t="s">
        <v>530</v>
      </c>
      <c r="E527" s="24">
        <v>9757.82</v>
      </c>
      <c r="F527" s="25">
        <v>3050</v>
      </c>
      <c r="G527" s="24">
        <f t="shared" si="16"/>
        <v>3.1992852459016392</v>
      </c>
      <c r="H527" s="23" t="s">
        <v>759</v>
      </c>
      <c r="I527" s="23" t="s">
        <v>760</v>
      </c>
      <c r="J527" s="23" t="str">
        <f t="shared" si="17"/>
        <v>OK</v>
      </c>
      <c r="K527" s="23"/>
    </row>
    <row r="528" spans="1:11" x14ac:dyDescent="0.25">
      <c r="A528" s="23" t="s">
        <v>1291</v>
      </c>
      <c r="B528" s="23">
        <v>1064</v>
      </c>
      <c r="C528" s="23">
        <v>1065</v>
      </c>
      <c r="D528" s="23" t="s">
        <v>531</v>
      </c>
      <c r="E528" s="24">
        <v>1480.53</v>
      </c>
      <c r="F528" s="25">
        <v>448</v>
      </c>
      <c r="G528" s="24">
        <f t="shared" si="16"/>
        <v>3.3047544642857143</v>
      </c>
      <c r="H528" s="23" t="s">
        <v>759</v>
      </c>
      <c r="I528" s="23" t="s">
        <v>760</v>
      </c>
      <c r="J528" s="23" t="str">
        <f t="shared" si="17"/>
        <v>OK</v>
      </c>
      <c r="K528" s="23"/>
    </row>
    <row r="529" spans="1:11" x14ac:dyDescent="0.25">
      <c r="A529" s="23" t="s">
        <v>1292</v>
      </c>
      <c r="B529" s="23">
        <v>1066</v>
      </c>
      <c r="C529" s="23">
        <v>1067</v>
      </c>
      <c r="D529" s="23" t="s">
        <v>532</v>
      </c>
      <c r="E529" s="24">
        <v>960.38</v>
      </c>
      <c r="F529" s="25">
        <v>700</v>
      </c>
      <c r="G529" s="24">
        <f t="shared" si="16"/>
        <v>1.3719714285714286</v>
      </c>
      <c r="H529" s="23" t="s">
        <v>759</v>
      </c>
      <c r="I529" s="23" t="s">
        <v>760</v>
      </c>
      <c r="J529" s="23" t="str">
        <f t="shared" si="17"/>
        <v>OK</v>
      </c>
      <c r="K529" s="23"/>
    </row>
    <row r="530" spans="1:11" x14ac:dyDescent="0.25">
      <c r="A530" s="23" t="s">
        <v>1293</v>
      </c>
      <c r="B530" s="23">
        <v>1068</v>
      </c>
      <c r="C530" s="23">
        <v>1069</v>
      </c>
      <c r="D530" s="23" t="s">
        <v>533</v>
      </c>
      <c r="E530" s="24">
        <v>127.38</v>
      </c>
      <c r="F530" s="25">
        <v>45</v>
      </c>
      <c r="G530" s="24">
        <f t="shared" si="16"/>
        <v>2.8306666666666667</v>
      </c>
      <c r="H530" s="23" t="s">
        <v>759</v>
      </c>
      <c r="I530" s="23" t="s">
        <v>760</v>
      </c>
      <c r="J530" s="23" t="str">
        <f t="shared" si="17"/>
        <v>OK</v>
      </c>
      <c r="K530" s="23"/>
    </row>
    <row r="531" spans="1:11" x14ac:dyDescent="0.25">
      <c r="A531" s="23" t="s">
        <v>1294</v>
      </c>
      <c r="B531" s="23">
        <v>1070</v>
      </c>
      <c r="C531" s="23">
        <v>1071</v>
      </c>
      <c r="D531" s="23" t="s">
        <v>534</v>
      </c>
      <c r="E531" s="24">
        <v>324</v>
      </c>
      <c r="F531" s="25">
        <v>100</v>
      </c>
      <c r="G531" s="24">
        <f t="shared" si="16"/>
        <v>3.24</v>
      </c>
      <c r="H531" s="23" t="s">
        <v>759</v>
      </c>
      <c r="I531" s="23" t="s">
        <v>760</v>
      </c>
      <c r="J531" s="23" t="str">
        <f t="shared" si="17"/>
        <v>OK</v>
      </c>
      <c r="K531" s="23"/>
    </row>
    <row r="532" spans="1:11" ht="26.4" x14ac:dyDescent="0.25">
      <c r="A532" s="23" t="s">
        <v>1295</v>
      </c>
      <c r="B532" s="23">
        <v>1072</v>
      </c>
      <c r="C532" s="23">
        <v>1073</v>
      </c>
      <c r="D532" s="23" t="s">
        <v>535</v>
      </c>
      <c r="E532" s="24">
        <v>1462.52</v>
      </c>
      <c r="F532" s="25">
        <v>30</v>
      </c>
      <c r="G532" s="24">
        <f t="shared" si="16"/>
        <v>48.750666666666667</v>
      </c>
      <c r="H532" s="23" t="s">
        <v>759</v>
      </c>
      <c r="I532" s="23" t="s">
        <v>760</v>
      </c>
      <c r="J532" s="23" t="str">
        <f t="shared" si="17"/>
        <v>OK</v>
      </c>
      <c r="K532" s="23"/>
    </row>
    <row r="533" spans="1:11" ht="26.4" x14ac:dyDescent="0.25">
      <c r="A533" s="23" t="s">
        <v>1296</v>
      </c>
      <c r="B533" s="23">
        <v>1074</v>
      </c>
      <c r="C533" s="23">
        <v>1075</v>
      </c>
      <c r="D533" s="23" t="s">
        <v>536</v>
      </c>
      <c r="E533" s="24">
        <v>523.48</v>
      </c>
      <c r="F533" s="25">
        <v>20</v>
      </c>
      <c r="G533" s="24">
        <f t="shared" si="16"/>
        <v>26.173999999999999</v>
      </c>
      <c r="H533" s="23" t="s">
        <v>759</v>
      </c>
      <c r="I533" s="23" t="s">
        <v>760</v>
      </c>
      <c r="J533" s="23" t="str">
        <f t="shared" si="17"/>
        <v>OK</v>
      </c>
      <c r="K533" s="23"/>
    </row>
    <row r="534" spans="1:11" x14ac:dyDescent="0.25">
      <c r="A534" s="23" t="s">
        <v>1297</v>
      </c>
      <c r="B534" s="23">
        <v>1076</v>
      </c>
      <c r="C534" s="23">
        <v>1077</v>
      </c>
      <c r="D534" s="23" t="s">
        <v>1298</v>
      </c>
      <c r="E534" s="24">
        <v>648</v>
      </c>
      <c r="F534" s="25">
        <v>200</v>
      </c>
      <c r="G534" s="24">
        <f t="shared" si="16"/>
        <v>3.24</v>
      </c>
      <c r="H534" s="23" t="s">
        <v>759</v>
      </c>
      <c r="I534" s="23" t="s">
        <v>760</v>
      </c>
      <c r="J534" s="23" t="str">
        <f t="shared" si="17"/>
        <v>OK</v>
      </c>
      <c r="K534" s="23"/>
    </row>
    <row r="535" spans="1:11" x14ac:dyDescent="0.25">
      <c r="A535" s="23" t="s">
        <v>1299</v>
      </c>
      <c r="B535" s="23">
        <v>1078</v>
      </c>
      <c r="C535" s="23">
        <v>1079</v>
      </c>
      <c r="D535" s="23" t="s">
        <v>1300</v>
      </c>
      <c r="E535" s="24">
        <v>189</v>
      </c>
      <c r="F535" s="25">
        <v>50</v>
      </c>
      <c r="G535" s="24">
        <f t="shared" si="16"/>
        <v>3.78</v>
      </c>
      <c r="H535" s="23" t="s">
        <v>759</v>
      </c>
      <c r="I535" s="23" t="s">
        <v>760</v>
      </c>
      <c r="J535" s="23" t="str">
        <f t="shared" si="17"/>
        <v>OK</v>
      </c>
      <c r="K535" s="23"/>
    </row>
    <row r="536" spans="1:11" x14ac:dyDescent="0.25">
      <c r="A536" s="23" t="s">
        <v>1301</v>
      </c>
      <c r="B536" s="23">
        <v>1080</v>
      </c>
      <c r="C536" s="23">
        <v>1081</v>
      </c>
      <c r="D536" s="23" t="s">
        <v>539</v>
      </c>
      <c r="E536" s="24">
        <v>696.62</v>
      </c>
      <c r="F536" s="25">
        <v>10</v>
      </c>
      <c r="G536" s="24">
        <f t="shared" si="16"/>
        <v>69.662000000000006</v>
      </c>
      <c r="H536" s="23" t="s">
        <v>759</v>
      </c>
      <c r="I536" s="23" t="s">
        <v>760</v>
      </c>
      <c r="J536" s="23" t="str">
        <f t="shared" si="17"/>
        <v>OK</v>
      </c>
      <c r="K536" s="23"/>
    </row>
    <row r="537" spans="1:11" x14ac:dyDescent="0.25">
      <c r="A537" s="23" t="s">
        <v>1302</v>
      </c>
      <c r="B537" s="23">
        <v>1082</v>
      </c>
      <c r="C537" s="23">
        <v>1083</v>
      </c>
      <c r="D537" s="23" t="s">
        <v>540</v>
      </c>
      <c r="E537" s="24">
        <v>1288</v>
      </c>
      <c r="F537" s="25">
        <v>1400</v>
      </c>
      <c r="G537" s="24">
        <f t="shared" si="16"/>
        <v>0.92</v>
      </c>
      <c r="H537" s="23" t="s">
        <v>759</v>
      </c>
      <c r="I537" s="23" t="s">
        <v>760</v>
      </c>
      <c r="J537" s="23" t="str">
        <f t="shared" si="17"/>
        <v>OK</v>
      </c>
      <c r="K537" s="23"/>
    </row>
    <row r="538" spans="1:11" x14ac:dyDescent="0.25">
      <c r="A538" s="23" t="s">
        <v>1303</v>
      </c>
      <c r="B538" s="23">
        <v>1084</v>
      </c>
      <c r="C538" s="23">
        <v>1085</v>
      </c>
      <c r="D538" s="23" t="s">
        <v>541</v>
      </c>
      <c r="E538" s="24">
        <v>249.6</v>
      </c>
      <c r="F538" s="25">
        <v>320</v>
      </c>
      <c r="G538" s="24">
        <f t="shared" si="16"/>
        <v>0.78</v>
      </c>
      <c r="H538" s="23" t="s">
        <v>759</v>
      </c>
      <c r="I538" s="23" t="s">
        <v>760</v>
      </c>
      <c r="J538" s="23" t="str">
        <f t="shared" si="17"/>
        <v>OK</v>
      </c>
      <c r="K538" s="23"/>
    </row>
    <row r="539" spans="1:11" x14ac:dyDescent="0.25">
      <c r="A539" s="23" t="s">
        <v>1304</v>
      </c>
      <c r="B539" s="23">
        <v>1086</v>
      </c>
      <c r="C539" s="23">
        <v>1087</v>
      </c>
      <c r="D539" s="23" t="s">
        <v>542</v>
      </c>
      <c r="E539" s="24">
        <v>296.39999999999998</v>
      </c>
      <c r="F539" s="25">
        <v>380</v>
      </c>
      <c r="G539" s="24">
        <f t="shared" si="16"/>
        <v>0.77999999999999992</v>
      </c>
      <c r="H539" s="23" t="s">
        <v>759</v>
      </c>
      <c r="I539" s="23" t="s">
        <v>760</v>
      </c>
      <c r="J539" s="23" t="str">
        <f t="shared" si="17"/>
        <v>OK</v>
      </c>
      <c r="K539" s="23"/>
    </row>
    <row r="540" spans="1:11" x14ac:dyDescent="0.25">
      <c r="A540" s="23" t="s">
        <v>1305</v>
      </c>
      <c r="B540" s="23">
        <v>1088</v>
      </c>
      <c r="C540" s="23">
        <v>1089</v>
      </c>
      <c r="D540" s="23" t="s">
        <v>543</v>
      </c>
      <c r="E540" s="24">
        <v>982.68</v>
      </c>
      <c r="F540" s="25">
        <v>1020</v>
      </c>
      <c r="G540" s="24">
        <f t="shared" si="16"/>
        <v>0.9634117647058823</v>
      </c>
      <c r="H540" s="23" t="s">
        <v>759</v>
      </c>
      <c r="I540" s="23" t="s">
        <v>760</v>
      </c>
      <c r="J540" s="23" t="str">
        <f t="shared" si="17"/>
        <v>OK</v>
      </c>
      <c r="K540" s="23"/>
    </row>
    <row r="541" spans="1:11" x14ac:dyDescent="0.25">
      <c r="A541" s="23" t="s">
        <v>1306</v>
      </c>
      <c r="B541" s="23">
        <v>1090</v>
      </c>
      <c r="C541" s="23">
        <v>1091</v>
      </c>
      <c r="D541" s="23" t="s">
        <v>544</v>
      </c>
      <c r="E541" s="24">
        <v>39.69</v>
      </c>
      <c r="F541" s="25">
        <v>3</v>
      </c>
      <c r="G541" s="24">
        <f t="shared" si="16"/>
        <v>13.229999999999999</v>
      </c>
      <c r="H541" s="23" t="s">
        <v>759</v>
      </c>
      <c r="I541" s="23" t="s">
        <v>760</v>
      </c>
      <c r="J541" s="23" t="str">
        <f t="shared" si="17"/>
        <v>OK</v>
      </c>
      <c r="K541" s="23"/>
    </row>
    <row r="542" spans="1:11" x14ac:dyDescent="0.25">
      <c r="A542" s="23" t="s">
        <v>1307</v>
      </c>
      <c r="B542" s="23">
        <v>1092</v>
      </c>
      <c r="C542" s="23">
        <v>1093</v>
      </c>
      <c r="D542" s="23" t="s">
        <v>545</v>
      </c>
      <c r="E542" s="24">
        <v>746.51</v>
      </c>
      <c r="F542" s="25">
        <v>3260</v>
      </c>
      <c r="G542" s="24">
        <f t="shared" si="16"/>
        <v>0.22899079754601226</v>
      </c>
      <c r="H542" s="23" t="s">
        <v>759</v>
      </c>
      <c r="I542" s="23" t="s">
        <v>760</v>
      </c>
      <c r="J542" s="23" t="str">
        <f t="shared" si="17"/>
        <v>OK</v>
      </c>
      <c r="K542" s="23"/>
    </row>
    <row r="543" spans="1:11" x14ac:dyDescent="0.25">
      <c r="A543" s="23" t="s">
        <v>1308</v>
      </c>
      <c r="B543" s="23">
        <v>1094</v>
      </c>
      <c r="C543" s="23">
        <v>1095</v>
      </c>
      <c r="D543" s="23" t="s">
        <v>546</v>
      </c>
      <c r="E543" s="24">
        <v>219.96</v>
      </c>
      <c r="F543" s="25">
        <v>12</v>
      </c>
      <c r="G543" s="24">
        <f t="shared" si="16"/>
        <v>18.330000000000002</v>
      </c>
      <c r="H543" s="23" t="s">
        <v>759</v>
      </c>
      <c r="I543" s="23" t="s">
        <v>760</v>
      </c>
      <c r="J543" s="23" t="str">
        <f t="shared" si="17"/>
        <v>OK</v>
      </c>
      <c r="K543" s="23"/>
    </row>
    <row r="544" spans="1:11" x14ac:dyDescent="0.25">
      <c r="A544" s="23" t="s">
        <v>1309</v>
      </c>
      <c r="B544" s="23">
        <v>1096</v>
      </c>
      <c r="C544" s="23">
        <v>1097</v>
      </c>
      <c r="D544" s="23" t="s">
        <v>547</v>
      </c>
      <c r="E544" s="24">
        <v>136.6</v>
      </c>
      <c r="F544" s="25">
        <v>80</v>
      </c>
      <c r="G544" s="24">
        <f t="shared" si="16"/>
        <v>1.7075</v>
      </c>
      <c r="H544" s="23" t="s">
        <v>759</v>
      </c>
      <c r="I544" s="23" t="s">
        <v>760</v>
      </c>
      <c r="J544" s="23" t="str">
        <f t="shared" si="17"/>
        <v>OK</v>
      </c>
      <c r="K544" s="23"/>
    </row>
    <row r="545" spans="1:11" x14ac:dyDescent="0.25">
      <c r="A545" s="23" t="s">
        <v>1310</v>
      </c>
      <c r="B545" s="23">
        <v>1098</v>
      </c>
      <c r="C545" s="23">
        <v>1099</v>
      </c>
      <c r="D545" s="23" t="s">
        <v>548</v>
      </c>
      <c r="E545" s="24">
        <v>55.98</v>
      </c>
      <c r="F545" s="25">
        <v>36</v>
      </c>
      <c r="G545" s="24">
        <f t="shared" si="16"/>
        <v>1.5549999999999999</v>
      </c>
      <c r="H545" s="23" t="s">
        <v>759</v>
      </c>
      <c r="I545" s="23" t="s">
        <v>760</v>
      </c>
      <c r="J545" s="23" t="str">
        <f t="shared" si="17"/>
        <v>OK</v>
      </c>
      <c r="K545" s="23"/>
    </row>
    <row r="546" spans="1:11" x14ac:dyDescent="0.25">
      <c r="A546" s="23" t="s">
        <v>1311</v>
      </c>
      <c r="B546" s="23">
        <v>1100</v>
      </c>
      <c r="C546" s="23">
        <v>1101</v>
      </c>
      <c r="D546" s="23" t="s">
        <v>549</v>
      </c>
      <c r="E546" s="24">
        <v>127</v>
      </c>
      <c r="F546" s="25">
        <v>60</v>
      </c>
      <c r="G546" s="24">
        <f t="shared" si="16"/>
        <v>2.1166666666666667</v>
      </c>
      <c r="H546" s="23" t="s">
        <v>759</v>
      </c>
      <c r="I546" s="23" t="s">
        <v>760</v>
      </c>
      <c r="J546" s="23" t="str">
        <f t="shared" si="17"/>
        <v>OK</v>
      </c>
      <c r="K546" s="23"/>
    </row>
    <row r="547" spans="1:11" x14ac:dyDescent="0.25">
      <c r="A547" s="23" t="s">
        <v>1312</v>
      </c>
      <c r="B547" s="23">
        <v>1102</v>
      </c>
      <c r="C547" s="23">
        <v>1103</v>
      </c>
      <c r="D547" s="23" t="s">
        <v>550</v>
      </c>
      <c r="E547" s="24">
        <v>539.25</v>
      </c>
      <c r="F547" s="25">
        <v>11</v>
      </c>
      <c r="G547" s="24">
        <f t="shared" si="16"/>
        <v>49.022727272727273</v>
      </c>
      <c r="H547" s="23" t="s">
        <v>759</v>
      </c>
      <c r="I547" s="23" t="s">
        <v>760</v>
      </c>
      <c r="J547" s="23" t="str">
        <f t="shared" si="17"/>
        <v>OK</v>
      </c>
      <c r="K547" s="23"/>
    </row>
    <row r="548" spans="1:11" x14ac:dyDescent="0.25">
      <c r="A548" s="23" t="s">
        <v>1313</v>
      </c>
      <c r="B548" s="23">
        <v>1104</v>
      </c>
      <c r="C548" s="23">
        <v>1105</v>
      </c>
      <c r="D548" s="23" t="s">
        <v>551</v>
      </c>
      <c r="E548" s="24">
        <v>550.15</v>
      </c>
      <c r="F548" s="25">
        <v>10</v>
      </c>
      <c r="G548" s="24">
        <f t="shared" si="16"/>
        <v>55.015000000000001</v>
      </c>
      <c r="H548" s="23" t="s">
        <v>759</v>
      </c>
      <c r="I548" s="23" t="s">
        <v>760</v>
      </c>
      <c r="J548" s="23" t="str">
        <f t="shared" si="17"/>
        <v>OK</v>
      </c>
      <c r="K548" s="23"/>
    </row>
    <row r="549" spans="1:11" x14ac:dyDescent="0.25">
      <c r="A549" s="23" t="s">
        <v>1314</v>
      </c>
      <c r="B549" s="23">
        <v>1106</v>
      </c>
      <c r="C549" s="23">
        <v>1107</v>
      </c>
      <c r="D549" s="23" t="s">
        <v>552</v>
      </c>
      <c r="E549" s="24">
        <v>534.49</v>
      </c>
      <c r="F549" s="25">
        <v>780</v>
      </c>
      <c r="G549" s="24">
        <f t="shared" si="16"/>
        <v>0.68524358974358979</v>
      </c>
      <c r="H549" s="23" t="s">
        <v>759</v>
      </c>
      <c r="I549" s="23" t="s">
        <v>760</v>
      </c>
      <c r="J549" s="23" t="str">
        <f t="shared" si="17"/>
        <v>OK</v>
      </c>
      <c r="K549" s="23"/>
    </row>
    <row r="550" spans="1:11" x14ac:dyDescent="0.25">
      <c r="A550" s="23" t="s">
        <v>1315</v>
      </c>
      <c r="B550" s="23">
        <v>1108</v>
      </c>
      <c r="C550" s="23">
        <v>1109</v>
      </c>
      <c r="D550" s="23" t="s">
        <v>553</v>
      </c>
      <c r="E550" s="24">
        <v>38637.629999999997</v>
      </c>
      <c r="F550" s="25">
        <v>19700</v>
      </c>
      <c r="G550" s="24">
        <f t="shared" si="16"/>
        <v>1.9613010152284263</v>
      </c>
      <c r="H550" s="23" t="s">
        <v>759</v>
      </c>
      <c r="I550" s="23" t="s">
        <v>760</v>
      </c>
      <c r="J550" s="23" t="str">
        <f t="shared" si="17"/>
        <v>OK</v>
      </c>
      <c r="K550" s="23"/>
    </row>
    <row r="551" spans="1:11" x14ac:dyDescent="0.25">
      <c r="A551" s="23" t="s">
        <v>1316</v>
      </c>
      <c r="B551" s="23">
        <v>1110</v>
      </c>
      <c r="C551" s="23">
        <v>1111</v>
      </c>
      <c r="D551" s="23" t="s">
        <v>554</v>
      </c>
      <c r="E551" s="24">
        <v>157.24</v>
      </c>
      <c r="F551" s="25">
        <v>26</v>
      </c>
      <c r="G551" s="24">
        <f t="shared" si="16"/>
        <v>6.0476923076923077</v>
      </c>
      <c r="H551" s="23" t="s">
        <v>759</v>
      </c>
      <c r="I551" s="23" t="s">
        <v>760</v>
      </c>
      <c r="J551" s="23" t="str">
        <f t="shared" si="17"/>
        <v>OK</v>
      </c>
      <c r="K551" s="23"/>
    </row>
    <row r="552" spans="1:11" x14ac:dyDescent="0.25">
      <c r="A552" s="23" t="s">
        <v>1317</v>
      </c>
      <c r="B552" s="23">
        <v>1112</v>
      </c>
      <c r="C552" s="23">
        <v>1113</v>
      </c>
      <c r="D552" s="23" t="s">
        <v>555</v>
      </c>
      <c r="E552" s="24">
        <v>4187.6000000000004</v>
      </c>
      <c r="F552" s="25">
        <v>188000</v>
      </c>
      <c r="G552" s="24">
        <f t="shared" si="16"/>
        <v>2.2274468085106386E-2</v>
      </c>
      <c r="H552" s="23" t="s">
        <v>759</v>
      </c>
      <c r="I552" s="23" t="s">
        <v>760</v>
      </c>
      <c r="J552" s="23" t="str">
        <f t="shared" si="17"/>
        <v>OK</v>
      </c>
      <c r="K552" s="23"/>
    </row>
    <row r="553" spans="1:11" ht="26.4" x14ac:dyDescent="0.25">
      <c r="A553" s="23" t="s">
        <v>1318</v>
      </c>
      <c r="B553" s="23">
        <v>1114</v>
      </c>
      <c r="C553" s="23">
        <v>1115</v>
      </c>
      <c r="D553" s="23" t="s">
        <v>556</v>
      </c>
      <c r="E553" s="24">
        <v>620.4</v>
      </c>
      <c r="F553" s="25">
        <v>22</v>
      </c>
      <c r="G553" s="24">
        <f t="shared" si="16"/>
        <v>28.2</v>
      </c>
      <c r="H553" s="23" t="s">
        <v>759</v>
      </c>
      <c r="I553" s="23" t="s">
        <v>760</v>
      </c>
      <c r="J553" s="23" t="str">
        <f t="shared" si="17"/>
        <v>OK</v>
      </c>
      <c r="K553" s="23"/>
    </row>
    <row r="554" spans="1:11" x14ac:dyDescent="0.25">
      <c r="A554" s="23" t="s">
        <v>1319</v>
      </c>
      <c r="B554" s="23">
        <v>1116</v>
      </c>
      <c r="C554" s="23">
        <v>1117</v>
      </c>
      <c r="D554" s="23" t="s">
        <v>557</v>
      </c>
      <c r="E554" s="24">
        <v>929.29</v>
      </c>
      <c r="F554" s="25">
        <v>400</v>
      </c>
      <c r="G554" s="24">
        <f t="shared" si="16"/>
        <v>2.3232249999999999</v>
      </c>
      <c r="H554" s="23" t="s">
        <v>759</v>
      </c>
      <c r="I554" s="23" t="s">
        <v>760</v>
      </c>
      <c r="J554" s="23" t="str">
        <f t="shared" si="17"/>
        <v>OK</v>
      </c>
      <c r="K554" s="23"/>
    </row>
    <row r="555" spans="1:11" x14ac:dyDescent="0.25">
      <c r="A555" s="23" t="s">
        <v>1320</v>
      </c>
      <c r="B555" s="23">
        <v>1118</v>
      </c>
      <c r="C555" s="23">
        <v>1119</v>
      </c>
      <c r="D555" s="23" t="s">
        <v>558</v>
      </c>
      <c r="E555" s="24">
        <v>359.1</v>
      </c>
      <c r="F555" s="25">
        <v>950</v>
      </c>
      <c r="G555" s="24">
        <f t="shared" si="16"/>
        <v>0.378</v>
      </c>
      <c r="H555" s="23" t="s">
        <v>759</v>
      </c>
      <c r="I555" s="23" t="s">
        <v>760</v>
      </c>
      <c r="J555" s="23" t="str">
        <f t="shared" si="17"/>
        <v>OK</v>
      </c>
      <c r="K555" s="23"/>
    </row>
    <row r="556" spans="1:11" x14ac:dyDescent="0.25">
      <c r="A556" s="23" t="s">
        <v>1321</v>
      </c>
      <c r="B556" s="23">
        <v>1120</v>
      </c>
      <c r="C556" s="23">
        <v>1121</v>
      </c>
      <c r="D556" s="23" t="s">
        <v>559</v>
      </c>
      <c r="E556" s="24">
        <v>373.3</v>
      </c>
      <c r="F556" s="25">
        <v>20</v>
      </c>
      <c r="G556" s="24">
        <f t="shared" si="16"/>
        <v>18.664999999999999</v>
      </c>
      <c r="H556" s="23" t="s">
        <v>759</v>
      </c>
      <c r="I556" s="23" t="s">
        <v>760</v>
      </c>
      <c r="J556" s="23" t="str">
        <f t="shared" si="17"/>
        <v>OK</v>
      </c>
      <c r="K556" s="23"/>
    </row>
    <row r="557" spans="1:11" x14ac:dyDescent="0.25">
      <c r="A557" s="23" t="s">
        <v>1322</v>
      </c>
      <c r="B557" s="23">
        <v>1122</v>
      </c>
      <c r="C557" s="23">
        <v>1123</v>
      </c>
      <c r="D557" s="23" t="s">
        <v>560</v>
      </c>
      <c r="E557" s="24">
        <v>139.88999999999999</v>
      </c>
      <c r="F557" s="25">
        <v>5</v>
      </c>
      <c r="G557" s="24">
        <f t="shared" si="16"/>
        <v>27.977999999999998</v>
      </c>
      <c r="H557" s="23" t="s">
        <v>759</v>
      </c>
      <c r="I557" s="23" t="s">
        <v>760</v>
      </c>
      <c r="J557" s="23" t="str">
        <f t="shared" si="17"/>
        <v>OK</v>
      </c>
      <c r="K557" s="23"/>
    </row>
    <row r="558" spans="1:11" x14ac:dyDescent="0.25">
      <c r="A558" s="23" t="s">
        <v>1323</v>
      </c>
      <c r="B558" s="23">
        <v>1124</v>
      </c>
      <c r="C558" s="23">
        <v>1125</v>
      </c>
      <c r="D558" s="23" t="s">
        <v>561</v>
      </c>
      <c r="E558" s="24">
        <v>310.43</v>
      </c>
      <c r="F558" s="25">
        <v>50</v>
      </c>
      <c r="G558" s="24">
        <f t="shared" si="16"/>
        <v>6.2086000000000006</v>
      </c>
      <c r="H558" s="23" t="s">
        <v>759</v>
      </c>
      <c r="I558" s="23" t="s">
        <v>760</v>
      </c>
      <c r="J558" s="23" t="str">
        <f t="shared" si="17"/>
        <v>OK</v>
      </c>
      <c r="K558" s="23"/>
    </row>
    <row r="559" spans="1:11" x14ac:dyDescent="0.25">
      <c r="A559" s="23" t="s">
        <v>1324</v>
      </c>
      <c r="B559" s="23">
        <v>1126</v>
      </c>
      <c r="C559" s="23">
        <v>1127</v>
      </c>
      <c r="D559" s="23" t="s">
        <v>562</v>
      </c>
      <c r="E559" s="24">
        <v>2795.14</v>
      </c>
      <c r="F559" s="25">
        <v>2530</v>
      </c>
      <c r="G559" s="24">
        <f t="shared" si="16"/>
        <v>1.1047984189723319</v>
      </c>
      <c r="H559" s="23" t="s">
        <v>759</v>
      </c>
      <c r="I559" s="23" t="s">
        <v>760</v>
      </c>
      <c r="J559" s="23" t="str">
        <f t="shared" si="17"/>
        <v>OK</v>
      </c>
      <c r="K559" s="23"/>
    </row>
    <row r="560" spans="1:11" x14ac:dyDescent="0.25">
      <c r="A560" s="23" t="s">
        <v>1325</v>
      </c>
      <c r="B560" s="23">
        <v>1128</v>
      </c>
      <c r="C560" s="23">
        <v>1129</v>
      </c>
      <c r="D560" s="23" t="s">
        <v>563</v>
      </c>
      <c r="E560" s="24">
        <v>4718.7</v>
      </c>
      <c r="F560" s="25">
        <v>3150</v>
      </c>
      <c r="G560" s="24">
        <f t="shared" si="16"/>
        <v>1.498</v>
      </c>
      <c r="H560" s="23" t="s">
        <v>759</v>
      </c>
      <c r="I560" s="23" t="s">
        <v>760</v>
      </c>
      <c r="J560" s="23" t="str">
        <f t="shared" si="17"/>
        <v>OK</v>
      </c>
      <c r="K560" s="23"/>
    </row>
    <row r="561" spans="1:11" x14ac:dyDescent="0.25">
      <c r="A561" s="23" t="s">
        <v>1326</v>
      </c>
      <c r="B561" s="23">
        <v>1130</v>
      </c>
      <c r="C561" s="23">
        <v>1131</v>
      </c>
      <c r="D561" s="23" t="s">
        <v>564</v>
      </c>
      <c r="E561" s="24">
        <v>324</v>
      </c>
      <c r="F561" s="25">
        <v>100</v>
      </c>
      <c r="G561" s="24">
        <f t="shared" si="16"/>
        <v>3.24</v>
      </c>
      <c r="H561" s="23" t="s">
        <v>759</v>
      </c>
      <c r="I561" s="23" t="s">
        <v>760</v>
      </c>
      <c r="J561" s="23" t="str">
        <f t="shared" si="17"/>
        <v>OK</v>
      </c>
      <c r="K561" s="23"/>
    </row>
    <row r="562" spans="1:11" x14ac:dyDescent="0.25">
      <c r="A562" s="23" t="s">
        <v>1327</v>
      </c>
      <c r="B562" s="23">
        <v>1132</v>
      </c>
      <c r="C562" s="23">
        <v>1133</v>
      </c>
      <c r="D562" s="23" t="s">
        <v>565</v>
      </c>
      <c r="E562" s="24">
        <v>324</v>
      </c>
      <c r="F562" s="25">
        <v>100</v>
      </c>
      <c r="G562" s="24">
        <f t="shared" si="16"/>
        <v>3.24</v>
      </c>
      <c r="H562" s="23" t="s">
        <v>759</v>
      </c>
      <c r="I562" s="23" t="s">
        <v>760</v>
      </c>
      <c r="J562" s="23" t="str">
        <f t="shared" si="17"/>
        <v>OK</v>
      </c>
      <c r="K562" s="23"/>
    </row>
    <row r="563" spans="1:11" x14ac:dyDescent="0.25">
      <c r="A563" s="23" t="s">
        <v>1328</v>
      </c>
      <c r="B563" s="23">
        <v>1134</v>
      </c>
      <c r="C563" s="23">
        <v>1135</v>
      </c>
      <c r="D563" s="23" t="s">
        <v>566</v>
      </c>
      <c r="E563" s="24">
        <v>2763.03</v>
      </c>
      <c r="F563" s="25">
        <v>850</v>
      </c>
      <c r="G563" s="24">
        <f t="shared" si="16"/>
        <v>3.2506235294117651</v>
      </c>
      <c r="H563" s="23" t="s">
        <v>759</v>
      </c>
      <c r="I563" s="23" t="s">
        <v>760</v>
      </c>
      <c r="J563" s="23" t="str">
        <f t="shared" si="17"/>
        <v>OK</v>
      </c>
      <c r="K563" s="23"/>
    </row>
    <row r="564" spans="1:11" x14ac:dyDescent="0.25">
      <c r="A564" s="23" t="s">
        <v>1329</v>
      </c>
      <c r="B564" s="23">
        <v>1136</v>
      </c>
      <c r="C564" s="23">
        <v>1137</v>
      </c>
      <c r="D564" s="23" t="s">
        <v>567</v>
      </c>
      <c r="E564" s="24">
        <v>189</v>
      </c>
      <c r="F564" s="25">
        <v>5</v>
      </c>
      <c r="G564" s="24">
        <f t="shared" si="16"/>
        <v>37.799999999999997</v>
      </c>
      <c r="H564" s="23" t="s">
        <v>759</v>
      </c>
      <c r="I564" s="23" t="s">
        <v>760</v>
      </c>
      <c r="J564" s="23" t="str">
        <f t="shared" si="17"/>
        <v>OK</v>
      </c>
      <c r="K564" s="23"/>
    </row>
    <row r="565" spans="1:11" x14ac:dyDescent="0.25">
      <c r="A565" s="23" t="s">
        <v>1330</v>
      </c>
      <c r="B565" s="23">
        <v>1138</v>
      </c>
      <c r="C565" s="23">
        <v>1139</v>
      </c>
      <c r="D565" s="23" t="s">
        <v>568</v>
      </c>
      <c r="E565" s="24">
        <v>265.44</v>
      </c>
      <c r="F565" s="25">
        <v>14</v>
      </c>
      <c r="G565" s="24">
        <f t="shared" si="16"/>
        <v>18.96</v>
      </c>
      <c r="H565" s="23" t="s">
        <v>759</v>
      </c>
      <c r="I565" s="23" t="s">
        <v>760</v>
      </c>
      <c r="J565" s="23" t="str">
        <f t="shared" si="17"/>
        <v>OK</v>
      </c>
      <c r="K565" s="23"/>
    </row>
    <row r="566" spans="1:11" x14ac:dyDescent="0.25">
      <c r="A566" s="23" t="s">
        <v>1331</v>
      </c>
      <c r="B566" s="23">
        <v>1140</v>
      </c>
      <c r="C566" s="23">
        <v>1141</v>
      </c>
      <c r="D566" s="23" t="s">
        <v>569</v>
      </c>
      <c r="E566" s="24">
        <v>1452.3</v>
      </c>
      <c r="F566" s="25">
        <v>156</v>
      </c>
      <c r="G566" s="24">
        <f t="shared" si="16"/>
        <v>9.309615384615384</v>
      </c>
      <c r="H566" s="23" t="s">
        <v>759</v>
      </c>
      <c r="I566" s="23" t="s">
        <v>760</v>
      </c>
      <c r="J566" s="23" t="str">
        <f t="shared" si="17"/>
        <v>OK</v>
      </c>
      <c r="K566" s="23"/>
    </row>
    <row r="567" spans="1:11" x14ac:dyDescent="0.25">
      <c r="A567" s="23" t="s">
        <v>1332</v>
      </c>
      <c r="B567" s="23">
        <v>1142</v>
      </c>
      <c r="C567" s="23">
        <v>1143</v>
      </c>
      <c r="D567" s="23" t="s">
        <v>570</v>
      </c>
      <c r="E567" s="24">
        <v>946.08</v>
      </c>
      <c r="F567" s="25">
        <v>120</v>
      </c>
      <c r="G567" s="24">
        <f t="shared" si="16"/>
        <v>7.8840000000000003</v>
      </c>
      <c r="H567" s="23" t="s">
        <v>759</v>
      </c>
      <c r="I567" s="23" t="s">
        <v>760</v>
      </c>
      <c r="J567" s="23" t="str">
        <f t="shared" si="17"/>
        <v>OK</v>
      </c>
      <c r="K567" s="23"/>
    </row>
    <row r="568" spans="1:11" x14ac:dyDescent="0.25">
      <c r="A568" s="23" t="s">
        <v>1333</v>
      </c>
      <c r="B568" s="23">
        <v>1144</v>
      </c>
      <c r="C568" s="23">
        <v>1145</v>
      </c>
      <c r="D568" s="23" t="s">
        <v>571</v>
      </c>
      <c r="E568" s="24">
        <v>278.64</v>
      </c>
      <c r="F568" s="25">
        <v>6</v>
      </c>
      <c r="G568" s="24">
        <f t="shared" si="16"/>
        <v>46.44</v>
      </c>
      <c r="H568" s="23" t="s">
        <v>759</v>
      </c>
      <c r="I568" s="23" t="s">
        <v>760</v>
      </c>
      <c r="J568" s="23" t="str">
        <f t="shared" si="17"/>
        <v>OK</v>
      </c>
      <c r="K568" s="23"/>
    </row>
    <row r="569" spans="1:11" x14ac:dyDescent="0.25">
      <c r="A569" s="23" t="s">
        <v>1334</v>
      </c>
      <c r="B569" s="23">
        <v>1146</v>
      </c>
      <c r="C569" s="23">
        <v>1147</v>
      </c>
      <c r="D569" s="23" t="s">
        <v>572</v>
      </c>
      <c r="E569" s="24">
        <v>13032.84</v>
      </c>
      <c r="F569" s="25">
        <v>69000</v>
      </c>
      <c r="G569" s="24">
        <f t="shared" si="16"/>
        <v>0.18888173913043479</v>
      </c>
      <c r="H569" s="23" t="s">
        <v>759</v>
      </c>
      <c r="I569" s="23" t="s">
        <v>760</v>
      </c>
      <c r="J569" s="23" t="str">
        <f t="shared" si="17"/>
        <v>OK</v>
      </c>
      <c r="K569" s="23"/>
    </row>
    <row r="570" spans="1:11" x14ac:dyDescent="0.25">
      <c r="A570" s="23" t="s">
        <v>1335</v>
      </c>
      <c r="B570" s="23">
        <v>1148</v>
      </c>
      <c r="C570" s="23">
        <v>1149</v>
      </c>
      <c r="D570" s="23" t="s">
        <v>573</v>
      </c>
      <c r="E570" s="24">
        <v>325.98</v>
      </c>
      <c r="F570" s="25">
        <v>98</v>
      </c>
      <c r="G570" s="24">
        <f t="shared" si="16"/>
        <v>3.3263265306122451</v>
      </c>
      <c r="H570" s="23" t="s">
        <v>759</v>
      </c>
      <c r="I570" s="23" t="s">
        <v>760</v>
      </c>
      <c r="J570" s="23" t="str">
        <f t="shared" si="17"/>
        <v>OK</v>
      </c>
      <c r="K570" s="23"/>
    </row>
    <row r="571" spans="1:11" x14ac:dyDescent="0.25">
      <c r="A571" s="23" t="s">
        <v>1336</v>
      </c>
      <c r="B571" s="23">
        <v>1150</v>
      </c>
      <c r="C571" s="23">
        <v>1151</v>
      </c>
      <c r="D571" s="23" t="s">
        <v>574</v>
      </c>
      <c r="E571" s="24">
        <v>143.91999999999999</v>
      </c>
      <c r="F571" s="25">
        <v>60</v>
      </c>
      <c r="G571" s="24">
        <f t="shared" si="16"/>
        <v>2.3986666666666663</v>
      </c>
      <c r="H571" s="23" t="s">
        <v>759</v>
      </c>
      <c r="I571" s="23" t="s">
        <v>760</v>
      </c>
      <c r="J571" s="23" t="str">
        <f t="shared" si="17"/>
        <v>OK</v>
      </c>
      <c r="K571" s="23"/>
    </row>
    <row r="572" spans="1:11" x14ac:dyDescent="0.25">
      <c r="A572" s="23" t="s">
        <v>1337</v>
      </c>
      <c r="B572" s="23">
        <v>1152</v>
      </c>
      <c r="C572" s="23">
        <v>1153</v>
      </c>
      <c r="D572" s="23" t="s">
        <v>575</v>
      </c>
      <c r="E572" s="24">
        <v>454.86</v>
      </c>
      <c r="F572" s="25">
        <v>7</v>
      </c>
      <c r="G572" s="24">
        <f t="shared" si="16"/>
        <v>64.98</v>
      </c>
      <c r="H572" s="23" t="s">
        <v>759</v>
      </c>
      <c r="I572" s="23" t="s">
        <v>760</v>
      </c>
      <c r="J572" s="23" t="str">
        <f t="shared" si="17"/>
        <v>OK</v>
      </c>
      <c r="K572" s="23"/>
    </row>
    <row r="573" spans="1:11" x14ac:dyDescent="0.25">
      <c r="A573" s="23" t="s">
        <v>1338</v>
      </c>
      <c r="B573" s="23">
        <v>1154</v>
      </c>
      <c r="C573" s="23">
        <v>1155</v>
      </c>
      <c r="D573" s="23" t="s">
        <v>576</v>
      </c>
      <c r="E573" s="24">
        <v>226.34</v>
      </c>
      <c r="F573" s="25">
        <v>460</v>
      </c>
      <c r="G573" s="24">
        <f t="shared" si="16"/>
        <v>0.49204347826086958</v>
      </c>
      <c r="H573" s="23" t="s">
        <v>759</v>
      </c>
      <c r="I573" s="23" t="s">
        <v>760</v>
      </c>
      <c r="J573" s="23" t="str">
        <f t="shared" si="17"/>
        <v>OK</v>
      </c>
      <c r="K573" s="23"/>
    </row>
    <row r="574" spans="1:11" x14ac:dyDescent="0.25">
      <c r="A574" s="23" t="s">
        <v>1339</v>
      </c>
      <c r="B574" s="23">
        <v>1156</v>
      </c>
      <c r="C574" s="23">
        <v>1157</v>
      </c>
      <c r="D574" s="23" t="s">
        <v>577</v>
      </c>
      <c r="E574" s="24">
        <v>951.62</v>
      </c>
      <c r="F574" s="25">
        <v>123</v>
      </c>
      <c r="G574" s="24">
        <f t="shared" si="16"/>
        <v>7.7367479674796744</v>
      </c>
      <c r="H574" s="23" t="s">
        <v>759</v>
      </c>
      <c r="I574" s="23" t="s">
        <v>760</v>
      </c>
      <c r="J574" s="23" t="str">
        <f t="shared" si="17"/>
        <v>OK</v>
      </c>
      <c r="K574" s="23"/>
    </row>
    <row r="575" spans="1:11" x14ac:dyDescent="0.25">
      <c r="A575" s="23" t="s">
        <v>1340</v>
      </c>
      <c r="B575" s="23">
        <v>1158</v>
      </c>
      <c r="C575" s="23">
        <v>1159</v>
      </c>
      <c r="D575" s="23" t="s">
        <v>578</v>
      </c>
      <c r="E575" s="24">
        <v>1676.7</v>
      </c>
      <c r="F575" s="25">
        <v>150</v>
      </c>
      <c r="G575" s="24">
        <f t="shared" si="16"/>
        <v>11.178000000000001</v>
      </c>
      <c r="H575" s="23" t="s">
        <v>759</v>
      </c>
      <c r="I575" s="23" t="s">
        <v>760</v>
      </c>
      <c r="J575" s="23" t="str">
        <f t="shared" si="17"/>
        <v>OK</v>
      </c>
      <c r="K575" s="23"/>
    </row>
    <row r="576" spans="1:11" x14ac:dyDescent="0.25">
      <c r="A576" s="23" t="s">
        <v>1341</v>
      </c>
      <c r="B576" s="23">
        <v>1160</v>
      </c>
      <c r="C576" s="23">
        <v>1161</v>
      </c>
      <c r="D576" s="23" t="s">
        <v>579</v>
      </c>
      <c r="E576" s="24">
        <v>1455.64</v>
      </c>
      <c r="F576" s="25">
        <v>135</v>
      </c>
      <c r="G576" s="24">
        <f t="shared" si="16"/>
        <v>10.782518518518518</v>
      </c>
      <c r="H576" s="23" t="s">
        <v>759</v>
      </c>
      <c r="I576" s="23" t="s">
        <v>760</v>
      </c>
      <c r="J576" s="23" t="str">
        <f t="shared" si="17"/>
        <v>OK</v>
      </c>
      <c r="K576" s="23"/>
    </row>
    <row r="577" spans="1:11" x14ac:dyDescent="0.25">
      <c r="A577" s="23" t="s">
        <v>1342</v>
      </c>
      <c r="B577" s="23">
        <v>1162</v>
      </c>
      <c r="C577" s="23">
        <v>1163</v>
      </c>
      <c r="D577" s="23" t="s">
        <v>580</v>
      </c>
      <c r="E577" s="24">
        <v>5085.12</v>
      </c>
      <c r="F577" s="25">
        <v>319</v>
      </c>
      <c r="G577" s="24">
        <f t="shared" si="16"/>
        <v>15.940815047021943</v>
      </c>
      <c r="H577" s="23" t="s">
        <v>759</v>
      </c>
      <c r="I577" s="23" t="s">
        <v>760</v>
      </c>
      <c r="J577" s="23" t="str">
        <f t="shared" si="17"/>
        <v>OK</v>
      </c>
      <c r="K577" s="23"/>
    </row>
    <row r="578" spans="1:11" x14ac:dyDescent="0.25">
      <c r="A578" s="23" t="s">
        <v>1343</v>
      </c>
      <c r="B578" s="23">
        <v>1164</v>
      </c>
      <c r="C578" s="23">
        <v>1165</v>
      </c>
      <c r="D578" s="23" t="s">
        <v>581</v>
      </c>
      <c r="E578" s="24">
        <v>383.18</v>
      </c>
      <c r="F578" s="25">
        <v>4</v>
      </c>
      <c r="G578" s="24">
        <f t="shared" ref="G578:G641" si="18">IFERROR(E578/F578,"")</f>
        <v>95.795000000000002</v>
      </c>
      <c r="H578" s="23" t="s">
        <v>759</v>
      </c>
      <c r="I578" s="23" t="s">
        <v>760</v>
      </c>
      <c r="J578" s="23" t="str">
        <f t="shared" ref="J578:J641" si="19">IF(OR(E578="",F578=""),"LIPSESC DATE",IF(F578=0,"CANTITATE 0","OK"))</f>
        <v>OK</v>
      </c>
      <c r="K578" s="23"/>
    </row>
    <row r="579" spans="1:11" x14ac:dyDescent="0.25">
      <c r="A579" s="23" t="s">
        <v>1344</v>
      </c>
      <c r="B579" s="23">
        <v>1166</v>
      </c>
      <c r="C579" s="23">
        <v>1167</v>
      </c>
      <c r="D579" s="23" t="s">
        <v>582</v>
      </c>
      <c r="E579" s="24">
        <v>7167.39</v>
      </c>
      <c r="F579" s="25">
        <v>42</v>
      </c>
      <c r="G579" s="24">
        <f t="shared" si="18"/>
        <v>170.65214285714288</v>
      </c>
      <c r="H579" s="23" t="s">
        <v>759</v>
      </c>
      <c r="I579" s="23" t="s">
        <v>760</v>
      </c>
      <c r="J579" s="23" t="str">
        <f t="shared" si="19"/>
        <v>OK</v>
      </c>
      <c r="K579" s="23"/>
    </row>
    <row r="580" spans="1:11" x14ac:dyDescent="0.25">
      <c r="A580" s="23" t="s">
        <v>1345</v>
      </c>
      <c r="B580" s="23">
        <v>1168</v>
      </c>
      <c r="C580" s="23">
        <v>1169</v>
      </c>
      <c r="D580" s="23" t="s">
        <v>583</v>
      </c>
      <c r="E580" s="24">
        <v>959.15</v>
      </c>
      <c r="F580" s="25">
        <v>830</v>
      </c>
      <c r="G580" s="24">
        <f t="shared" si="18"/>
        <v>1.1556024096385542</v>
      </c>
      <c r="H580" s="23" t="s">
        <v>759</v>
      </c>
      <c r="I580" s="23" t="s">
        <v>760</v>
      </c>
      <c r="J580" s="23" t="str">
        <f t="shared" si="19"/>
        <v>OK</v>
      </c>
      <c r="K580" s="23"/>
    </row>
    <row r="581" spans="1:11" x14ac:dyDescent="0.25">
      <c r="A581" s="23" t="s">
        <v>1346</v>
      </c>
      <c r="B581" s="23">
        <v>1170</v>
      </c>
      <c r="C581" s="23">
        <v>1171</v>
      </c>
      <c r="D581" s="23" t="s">
        <v>584</v>
      </c>
      <c r="E581" s="24">
        <v>14.39</v>
      </c>
      <c r="F581" s="25">
        <v>28</v>
      </c>
      <c r="G581" s="24">
        <f t="shared" si="18"/>
        <v>0.5139285714285714</v>
      </c>
      <c r="H581" s="23" t="s">
        <v>759</v>
      </c>
      <c r="I581" s="23" t="s">
        <v>760</v>
      </c>
      <c r="J581" s="23" t="str">
        <f t="shared" si="19"/>
        <v>OK</v>
      </c>
      <c r="K581" s="23"/>
    </row>
    <row r="582" spans="1:11" x14ac:dyDescent="0.25">
      <c r="A582" s="23" t="s">
        <v>1347</v>
      </c>
      <c r="B582" s="23">
        <v>1172</v>
      </c>
      <c r="C582" s="23">
        <v>1173</v>
      </c>
      <c r="D582" s="23" t="s">
        <v>585</v>
      </c>
      <c r="E582" s="24">
        <v>317.31</v>
      </c>
      <c r="F582" s="25">
        <v>14</v>
      </c>
      <c r="G582" s="24">
        <f t="shared" si="18"/>
        <v>22.664999999999999</v>
      </c>
      <c r="H582" s="23" t="s">
        <v>759</v>
      </c>
      <c r="I582" s="23" t="s">
        <v>760</v>
      </c>
      <c r="J582" s="23" t="str">
        <f t="shared" si="19"/>
        <v>OK</v>
      </c>
      <c r="K582" s="23"/>
    </row>
    <row r="583" spans="1:11" x14ac:dyDescent="0.25">
      <c r="A583" s="23" t="s">
        <v>1348</v>
      </c>
      <c r="B583" s="23">
        <v>1174</v>
      </c>
      <c r="C583" s="23">
        <v>1175</v>
      </c>
      <c r="D583" s="23" t="s">
        <v>586</v>
      </c>
      <c r="E583" s="24">
        <v>344.74</v>
      </c>
      <c r="F583" s="25">
        <v>30</v>
      </c>
      <c r="G583" s="24">
        <f t="shared" si="18"/>
        <v>11.491333333333333</v>
      </c>
      <c r="H583" s="23" t="s">
        <v>759</v>
      </c>
      <c r="I583" s="23" t="s">
        <v>760</v>
      </c>
      <c r="J583" s="23" t="str">
        <f t="shared" si="19"/>
        <v>OK</v>
      </c>
      <c r="K583" s="23"/>
    </row>
    <row r="584" spans="1:11" x14ac:dyDescent="0.25">
      <c r="A584" s="23" t="s">
        <v>1349</v>
      </c>
      <c r="B584" s="23">
        <v>1176</v>
      </c>
      <c r="C584" s="23">
        <v>1177</v>
      </c>
      <c r="D584" s="23" t="s">
        <v>587</v>
      </c>
      <c r="E584" s="24">
        <v>1008</v>
      </c>
      <c r="F584" s="25">
        <v>30</v>
      </c>
      <c r="G584" s="24">
        <f t="shared" si="18"/>
        <v>33.6</v>
      </c>
      <c r="H584" s="23" t="s">
        <v>759</v>
      </c>
      <c r="I584" s="23" t="s">
        <v>760</v>
      </c>
      <c r="J584" s="23" t="str">
        <f t="shared" si="19"/>
        <v>OK</v>
      </c>
      <c r="K584" s="23"/>
    </row>
    <row r="585" spans="1:11" x14ac:dyDescent="0.25">
      <c r="A585" s="23" t="s">
        <v>1350</v>
      </c>
      <c r="B585" s="23">
        <v>1178</v>
      </c>
      <c r="C585" s="23">
        <v>1179</v>
      </c>
      <c r="D585" s="23" t="s">
        <v>588</v>
      </c>
      <c r="E585" s="24">
        <v>53.28</v>
      </c>
      <c r="F585" s="25">
        <v>60</v>
      </c>
      <c r="G585" s="24">
        <f t="shared" si="18"/>
        <v>0.88800000000000001</v>
      </c>
      <c r="H585" s="23" t="s">
        <v>759</v>
      </c>
      <c r="I585" s="23" t="s">
        <v>760</v>
      </c>
      <c r="J585" s="23" t="str">
        <f t="shared" si="19"/>
        <v>OK</v>
      </c>
      <c r="K585" s="23"/>
    </row>
    <row r="586" spans="1:11" x14ac:dyDescent="0.25">
      <c r="A586" s="23" t="s">
        <v>1351</v>
      </c>
      <c r="B586" s="23">
        <v>1180</v>
      </c>
      <c r="C586" s="23">
        <v>1181</v>
      </c>
      <c r="D586" s="23" t="s">
        <v>589</v>
      </c>
      <c r="E586" s="24">
        <v>7030.72</v>
      </c>
      <c r="F586" s="25">
        <v>2430</v>
      </c>
      <c r="G586" s="24">
        <f t="shared" si="18"/>
        <v>2.8933004115226337</v>
      </c>
      <c r="H586" s="23" t="s">
        <v>759</v>
      </c>
      <c r="I586" s="23" t="s">
        <v>760</v>
      </c>
      <c r="J586" s="23" t="str">
        <f t="shared" si="19"/>
        <v>OK</v>
      </c>
      <c r="K586" s="23"/>
    </row>
    <row r="587" spans="1:11" x14ac:dyDescent="0.25">
      <c r="A587" s="23" t="s">
        <v>1352</v>
      </c>
      <c r="B587" s="23">
        <v>1182</v>
      </c>
      <c r="C587" s="23">
        <v>1183</v>
      </c>
      <c r="D587" s="23" t="s">
        <v>590</v>
      </c>
      <c r="E587" s="24">
        <v>162</v>
      </c>
      <c r="F587" s="25">
        <v>5</v>
      </c>
      <c r="G587" s="24">
        <f t="shared" si="18"/>
        <v>32.4</v>
      </c>
      <c r="H587" s="23" t="s">
        <v>759</v>
      </c>
      <c r="I587" s="23" t="s">
        <v>760</v>
      </c>
      <c r="J587" s="23" t="str">
        <f t="shared" si="19"/>
        <v>OK</v>
      </c>
      <c r="K587" s="23"/>
    </row>
    <row r="588" spans="1:11" x14ac:dyDescent="0.25">
      <c r="A588" s="23" t="s">
        <v>1353</v>
      </c>
      <c r="B588" s="23">
        <v>1184</v>
      </c>
      <c r="C588" s="23">
        <v>1185</v>
      </c>
      <c r="D588" s="23" t="s">
        <v>591</v>
      </c>
      <c r="E588" s="24">
        <v>78</v>
      </c>
      <c r="F588" s="25">
        <v>120</v>
      </c>
      <c r="G588" s="24">
        <f t="shared" si="18"/>
        <v>0.65</v>
      </c>
      <c r="H588" s="23" t="s">
        <v>759</v>
      </c>
      <c r="I588" s="23" t="s">
        <v>760</v>
      </c>
      <c r="J588" s="23" t="str">
        <f t="shared" si="19"/>
        <v>OK</v>
      </c>
      <c r="K588" s="23"/>
    </row>
    <row r="589" spans="1:11" x14ac:dyDescent="0.25">
      <c r="A589" s="23" t="s">
        <v>1354</v>
      </c>
      <c r="B589" s="23">
        <v>1186</v>
      </c>
      <c r="C589" s="23">
        <v>1187</v>
      </c>
      <c r="D589" s="23" t="s">
        <v>592</v>
      </c>
      <c r="E589" s="24">
        <v>52.5</v>
      </c>
      <c r="F589" s="25">
        <v>90</v>
      </c>
      <c r="G589" s="24">
        <f t="shared" si="18"/>
        <v>0.58333333333333337</v>
      </c>
      <c r="H589" s="23" t="s">
        <v>759</v>
      </c>
      <c r="I589" s="23" t="s">
        <v>760</v>
      </c>
      <c r="J589" s="23" t="str">
        <f t="shared" si="19"/>
        <v>OK</v>
      </c>
      <c r="K589" s="23"/>
    </row>
    <row r="590" spans="1:11" x14ac:dyDescent="0.25">
      <c r="A590" s="23" t="s">
        <v>1355</v>
      </c>
      <c r="B590" s="23">
        <v>1188</v>
      </c>
      <c r="C590" s="23">
        <v>1189</v>
      </c>
      <c r="D590" s="23" t="s">
        <v>593</v>
      </c>
      <c r="E590" s="24">
        <v>1348.18</v>
      </c>
      <c r="F590" s="25">
        <v>600</v>
      </c>
      <c r="G590" s="24">
        <f t="shared" si="18"/>
        <v>2.2469666666666668</v>
      </c>
      <c r="H590" s="23" t="s">
        <v>759</v>
      </c>
      <c r="I590" s="23" t="s">
        <v>760</v>
      </c>
      <c r="J590" s="23" t="str">
        <f t="shared" si="19"/>
        <v>OK</v>
      </c>
      <c r="K590" s="23"/>
    </row>
    <row r="591" spans="1:11" x14ac:dyDescent="0.25">
      <c r="A591" s="23" t="s">
        <v>1356</v>
      </c>
      <c r="B591" s="23">
        <v>1190</v>
      </c>
      <c r="C591" s="23">
        <v>1191</v>
      </c>
      <c r="D591" s="23" t="s">
        <v>594</v>
      </c>
      <c r="E591" s="24">
        <v>5757.1</v>
      </c>
      <c r="F591" s="25">
        <v>1390</v>
      </c>
      <c r="G591" s="24">
        <f t="shared" si="18"/>
        <v>4.141798561151079</v>
      </c>
      <c r="H591" s="23" t="s">
        <v>759</v>
      </c>
      <c r="I591" s="23" t="s">
        <v>760</v>
      </c>
      <c r="J591" s="23" t="str">
        <f t="shared" si="19"/>
        <v>OK</v>
      </c>
      <c r="K591" s="23"/>
    </row>
    <row r="592" spans="1:11" x14ac:dyDescent="0.25">
      <c r="A592" s="23" t="s">
        <v>1357</v>
      </c>
      <c r="B592" s="23">
        <v>1192</v>
      </c>
      <c r="C592" s="23">
        <v>1193</v>
      </c>
      <c r="D592" s="23" t="s">
        <v>595</v>
      </c>
      <c r="E592" s="24">
        <v>3769.08</v>
      </c>
      <c r="F592" s="25">
        <v>135</v>
      </c>
      <c r="G592" s="24">
        <f t="shared" si="18"/>
        <v>27.919111111111111</v>
      </c>
      <c r="H592" s="23" t="s">
        <v>759</v>
      </c>
      <c r="I592" s="23" t="s">
        <v>760</v>
      </c>
      <c r="J592" s="23" t="str">
        <f t="shared" si="19"/>
        <v>OK</v>
      </c>
      <c r="K592" s="23"/>
    </row>
    <row r="593" spans="1:11" x14ac:dyDescent="0.25">
      <c r="A593" s="23" t="s">
        <v>1358</v>
      </c>
      <c r="B593" s="23">
        <v>1194</v>
      </c>
      <c r="C593" s="23">
        <v>1195</v>
      </c>
      <c r="D593" s="23" t="s">
        <v>596</v>
      </c>
      <c r="E593" s="24">
        <v>3436.99</v>
      </c>
      <c r="F593" s="25">
        <v>77</v>
      </c>
      <c r="G593" s="24">
        <f t="shared" si="18"/>
        <v>44.636233766233765</v>
      </c>
      <c r="H593" s="23" t="s">
        <v>759</v>
      </c>
      <c r="I593" s="23" t="s">
        <v>760</v>
      </c>
      <c r="J593" s="23" t="str">
        <f t="shared" si="19"/>
        <v>OK</v>
      </c>
      <c r="K593" s="23"/>
    </row>
    <row r="594" spans="1:11" x14ac:dyDescent="0.25">
      <c r="A594" s="23" t="s">
        <v>1359</v>
      </c>
      <c r="B594" s="23">
        <v>1196</v>
      </c>
      <c r="C594" s="23">
        <v>1197</v>
      </c>
      <c r="D594" s="23" t="s">
        <v>597</v>
      </c>
      <c r="E594" s="24">
        <v>15.6</v>
      </c>
      <c r="F594" s="25">
        <v>20</v>
      </c>
      <c r="G594" s="24">
        <f t="shared" si="18"/>
        <v>0.78</v>
      </c>
      <c r="H594" s="23" t="s">
        <v>759</v>
      </c>
      <c r="I594" s="23" t="s">
        <v>760</v>
      </c>
      <c r="J594" s="23" t="str">
        <f t="shared" si="19"/>
        <v>OK</v>
      </c>
      <c r="K594" s="23"/>
    </row>
    <row r="595" spans="1:11" x14ac:dyDescent="0.25">
      <c r="A595" s="23" t="s">
        <v>1360</v>
      </c>
      <c r="B595" s="23">
        <v>1198</v>
      </c>
      <c r="C595" s="23">
        <v>1199</v>
      </c>
      <c r="D595" s="23" t="s">
        <v>598</v>
      </c>
      <c r="E595" s="24">
        <v>180.88</v>
      </c>
      <c r="F595" s="25">
        <v>100</v>
      </c>
      <c r="G595" s="24">
        <f t="shared" si="18"/>
        <v>1.8088</v>
      </c>
      <c r="H595" s="23" t="s">
        <v>759</v>
      </c>
      <c r="I595" s="23" t="s">
        <v>760</v>
      </c>
      <c r="J595" s="23" t="str">
        <f t="shared" si="19"/>
        <v>OK</v>
      </c>
      <c r="K595" s="23"/>
    </row>
    <row r="596" spans="1:11" x14ac:dyDescent="0.25">
      <c r="A596" s="23" t="s">
        <v>1361</v>
      </c>
      <c r="B596" s="23">
        <v>1200</v>
      </c>
      <c r="C596" s="23">
        <v>1201</v>
      </c>
      <c r="D596" s="23" t="s">
        <v>599</v>
      </c>
      <c r="E596" s="24">
        <v>3355.41</v>
      </c>
      <c r="F596" s="25">
        <v>2140</v>
      </c>
      <c r="G596" s="24">
        <f t="shared" si="18"/>
        <v>1.567948598130841</v>
      </c>
      <c r="H596" s="23" t="s">
        <v>759</v>
      </c>
      <c r="I596" s="23" t="s">
        <v>760</v>
      </c>
      <c r="J596" s="23" t="str">
        <f t="shared" si="19"/>
        <v>OK</v>
      </c>
      <c r="K596" s="23"/>
    </row>
    <row r="597" spans="1:11" x14ac:dyDescent="0.25">
      <c r="A597" s="23" t="s">
        <v>1362</v>
      </c>
      <c r="B597" s="23">
        <v>1202</v>
      </c>
      <c r="C597" s="23">
        <v>1203</v>
      </c>
      <c r="D597" s="23" t="s">
        <v>600</v>
      </c>
      <c r="E597" s="24">
        <v>31.36</v>
      </c>
      <c r="F597" s="25">
        <v>20</v>
      </c>
      <c r="G597" s="24">
        <f t="shared" si="18"/>
        <v>1.5680000000000001</v>
      </c>
      <c r="H597" s="23" t="s">
        <v>759</v>
      </c>
      <c r="I597" s="23" t="s">
        <v>760</v>
      </c>
      <c r="J597" s="23" t="str">
        <f t="shared" si="19"/>
        <v>OK</v>
      </c>
      <c r="K597" s="23"/>
    </row>
    <row r="598" spans="1:11" x14ac:dyDescent="0.25">
      <c r="A598" s="23" t="s">
        <v>1363</v>
      </c>
      <c r="B598" s="23">
        <v>1204</v>
      </c>
      <c r="C598" s="23">
        <v>1205</v>
      </c>
      <c r="D598" s="23" t="s">
        <v>601</v>
      </c>
      <c r="E598" s="24">
        <v>62.55</v>
      </c>
      <c r="F598" s="25">
        <v>80</v>
      </c>
      <c r="G598" s="24">
        <f t="shared" si="18"/>
        <v>0.78187499999999999</v>
      </c>
      <c r="H598" s="23" t="s">
        <v>759</v>
      </c>
      <c r="I598" s="23" t="s">
        <v>760</v>
      </c>
      <c r="J598" s="23" t="str">
        <f t="shared" si="19"/>
        <v>OK</v>
      </c>
      <c r="K598" s="23"/>
    </row>
    <row r="599" spans="1:11" x14ac:dyDescent="0.25">
      <c r="A599" s="23" t="s">
        <v>1364</v>
      </c>
      <c r="B599" s="23">
        <v>1206</v>
      </c>
      <c r="C599" s="23">
        <v>1207</v>
      </c>
      <c r="D599" s="23" t="s">
        <v>602</v>
      </c>
      <c r="E599" s="24">
        <v>636.55999999999995</v>
      </c>
      <c r="F599" s="25">
        <v>20</v>
      </c>
      <c r="G599" s="24">
        <f t="shared" si="18"/>
        <v>31.827999999999996</v>
      </c>
      <c r="H599" s="23" t="s">
        <v>759</v>
      </c>
      <c r="I599" s="23" t="s">
        <v>760</v>
      </c>
      <c r="J599" s="23" t="str">
        <f t="shared" si="19"/>
        <v>OK</v>
      </c>
      <c r="K599" s="23"/>
    </row>
    <row r="600" spans="1:11" x14ac:dyDescent="0.25">
      <c r="A600" s="23" t="s">
        <v>1365</v>
      </c>
      <c r="B600" s="23">
        <v>1208</v>
      </c>
      <c r="C600" s="23">
        <v>1209</v>
      </c>
      <c r="D600" s="23" t="s">
        <v>603</v>
      </c>
      <c r="E600" s="24">
        <v>504.84</v>
      </c>
      <c r="F600" s="25">
        <v>20</v>
      </c>
      <c r="G600" s="24">
        <f t="shared" si="18"/>
        <v>25.241999999999997</v>
      </c>
      <c r="H600" s="23" t="s">
        <v>759</v>
      </c>
      <c r="I600" s="23" t="s">
        <v>760</v>
      </c>
      <c r="J600" s="23" t="str">
        <f t="shared" si="19"/>
        <v>OK</v>
      </c>
      <c r="K600" s="23"/>
    </row>
    <row r="601" spans="1:11" x14ac:dyDescent="0.25">
      <c r="A601" s="23" t="s">
        <v>1366</v>
      </c>
      <c r="B601" s="23">
        <v>1210</v>
      </c>
      <c r="C601" s="23">
        <v>1211</v>
      </c>
      <c r="D601" s="23" t="s">
        <v>604</v>
      </c>
      <c r="E601" s="24">
        <v>8177.15</v>
      </c>
      <c r="F601" s="25">
        <v>305</v>
      </c>
      <c r="G601" s="24">
        <f t="shared" si="18"/>
        <v>26.810327868852458</v>
      </c>
      <c r="H601" s="23" t="s">
        <v>759</v>
      </c>
      <c r="I601" s="23" t="s">
        <v>760</v>
      </c>
      <c r="J601" s="23" t="str">
        <f t="shared" si="19"/>
        <v>OK</v>
      </c>
      <c r="K601" s="23"/>
    </row>
    <row r="602" spans="1:11" x14ac:dyDescent="0.25">
      <c r="A602" s="23" t="s">
        <v>1367</v>
      </c>
      <c r="B602" s="23">
        <v>1212</v>
      </c>
      <c r="C602" s="23">
        <v>1213</v>
      </c>
      <c r="D602" s="23" t="s">
        <v>605</v>
      </c>
      <c r="E602" s="24">
        <v>572.99</v>
      </c>
      <c r="F602" s="25">
        <v>750</v>
      </c>
      <c r="G602" s="24">
        <f t="shared" si="18"/>
        <v>0.7639866666666667</v>
      </c>
      <c r="H602" s="23" t="s">
        <v>759</v>
      </c>
      <c r="I602" s="23" t="s">
        <v>760</v>
      </c>
      <c r="J602" s="23" t="str">
        <f t="shared" si="19"/>
        <v>OK</v>
      </c>
      <c r="K602" s="23"/>
    </row>
    <row r="603" spans="1:11" x14ac:dyDescent="0.25">
      <c r="A603" s="23" t="s">
        <v>1368</v>
      </c>
      <c r="B603" s="23">
        <v>1214</v>
      </c>
      <c r="C603" s="23">
        <v>1215</v>
      </c>
      <c r="D603" s="23" t="s">
        <v>606</v>
      </c>
      <c r="E603" s="24">
        <v>3157.8</v>
      </c>
      <c r="F603" s="25">
        <v>11880</v>
      </c>
      <c r="G603" s="24">
        <f t="shared" si="18"/>
        <v>0.26580808080808083</v>
      </c>
      <c r="H603" s="23" t="s">
        <v>759</v>
      </c>
      <c r="I603" s="23" t="s">
        <v>760</v>
      </c>
      <c r="J603" s="23" t="str">
        <f t="shared" si="19"/>
        <v>OK</v>
      </c>
      <c r="K603" s="23"/>
    </row>
    <row r="604" spans="1:11" x14ac:dyDescent="0.25">
      <c r="A604" s="23" t="s">
        <v>1369</v>
      </c>
      <c r="B604" s="23">
        <v>1216</v>
      </c>
      <c r="C604" s="23">
        <v>1217</v>
      </c>
      <c r="D604" s="23" t="s">
        <v>607</v>
      </c>
      <c r="E604" s="24">
        <v>117.61</v>
      </c>
      <c r="F604" s="25">
        <v>30</v>
      </c>
      <c r="G604" s="24">
        <f t="shared" si="18"/>
        <v>3.9203333333333332</v>
      </c>
      <c r="H604" s="23" t="s">
        <v>759</v>
      </c>
      <c r="I604" s="23" t="s">
        <v>760</v>
      </c>
      <c r="J604" s="23" t="str">
        <f t="shared" si="19"/>
        <v>OK</v>
      </c>
      <c r="K604" s="23"/>
    </row>
    <row r="605" spans="1:11" x14ac:dyDescent="0.25">
      <c r="A605" s="23" t="s">
        <v>1370</v>
      </c>
      <c r="B605" s="23">
        <v>1218</v>
      </c>
      <c r="C605" s="23">
        <v>1219</v>
      </c>
      <c r="D605" s="23" t="s">
        <v>608</v>
      </c>
      <c r="E605" s="24">
        <v>976.86</v>
      </c>
      <c r="F605" s="25">
        <v>270</v>
      </c>
      <c r="G605" s="24">
        <f t="shared" si="18"/>
        <v>3.6179999999999999</v>
      </c>
      <c r="H605" s="23" t="s">
        <v>759</v>
      </c>
      <c r="I605" s="23" t="s">
        <v>760</v>
      </c>
      <c r="J605" s="23" t="str">
        <f t="shared" si="19"/>
        <v>OK</v>
      </c>
      <c r="K605" s="23"/>
    </row>
    <row r="606" spans="1:11" x14ac:dyDescent="0.25">
      <c r="A606" s="23" t="s">
        <v>1371</v>
      </c>
      <c r="B606" s="23">
        <v>1220</v>
      </c>
      <c r="C606" s="23">
        <v>1221</v>
      </c>
      <c r="D606" s="23" t="s">
        <v>609</v>
      </c>
      <c r="E606" s="24">
        <v>705.67</v>
      </c>
      <c r="F606" s="25">
        <v>180</v>
      </c>
      <c r="G606" s="24">
        <f t="shared" si="18"/>
        <v>3.9203888888888887</v>
      </c>
      <c r="H606" s="23" t="s">
        <v>759</v>
      </c>
      <c r="I606" s="23" t="s">
        <v>760</v>
      </c>
      <c r="J606" s="23" t="str">
        <f t="shared" si="19"/>
        <v>OK</v>
      </c>
      <c r="K606" s="23"/>
    </row>
    <row r="607" spans="1:11" ht="26.4" x14ac:dyDescent="0.25">
      <c r="A607" s="23" t="s">
        <v>1372</v>
      </c>
      <c r="B607" s="23">
        <v>1222</v>
      </c>
      <c r="C607" s="23">
        <v>1223</v>
      </c>
      <c r="D607" s="23" t="s">
        <v>610</v>
      </c>
      <c r="E607" s="24">
        <v>763.83</v>
      </c>
      <c r="F607" s="25">
        <v>41</v>
      </c>
      <c r="G607" s="24">
        <f t="shared" si="18"/>
        <v>18.630000000000003</v>
      </c>
      <c r="H607" s="23" t="s">
        <v>759</v>
      </c>
      <c r="I607" s="23" t="s">
        <v>760</v>
      </c>
      <c r="J607" s="23" t="str">
        <f t="shared" si="19"/>
        <v>OK</v>
      </c>
      <c r="K607" s="23"/>
    </row>
    <row r="608" spans="1:11" x14ac:dyDescent="0.25">
      <c r="A608" s="23" t="s">
        <v>1373</v>
      </c>
      <c r="B608" s="23">
        <v>1224</v>
      </c>
      <c r="C608" s="23">
        <v>1225</v>
      </c>
      <c r="D608" s="23" t="s">
        <v>611</v>
      </c>
      <c r="E608" s="24">
        <v>407.97</v>
      </c>
      <c r="F608" s="25">
        <v>540</v>
      </c>
      <c r="G608" s="24">
        <f t="shared" si="18"/>
        <v>0.75550000000000006</v>
      </c>
      <c r="H608" s="23" t="s">
        <v>759</v>
      </c>
      <c r="I608" s="23" t="s">
        <v>760</v>
      </c>
      <c r="J608" s="23" t="str">
        <f t="shared" si="19"/>
        <v>OK</v>
      </c>
      <c r="K608" s="23"/>
    </row>
    <row r="609" spans="1:11" x14ac:dyDescent="0.25">
      <c r="A609" s="23" t="s">
        <v>1374</v>
      </c>
      <c r="B609" s="23">
        <v>1226</v>
      </c>
      <c r="C609" s="23">
        <v>1227</v>
      </c>
      <c r="D609" s="23" t="s">
        <v>612</v>
      </c>
      <c r="E609" s="24">
        <v>7824.75</v>
      </c>
      <c r="F609" s="25">
        <v>7500</v>
      </c>
      <c r="G609" s="24">
        <f t="shared" si="18"/>
        <v>1.0432999999999999</v>
      </c>
      <c r="H609" s="23" t="s">
        <v>759</v>
      </c>
      <c r="I609" s="23" t="s">
        <v>760</v>
      </c>
      <c r="J609" s="23" t="str">
        <f t="shared" si="19"/>
        <v>OK</v>
      </c>
      <c r="K609" s="23"/>
    </row>
    <row r="610" spans="1:11" x14ac:dyDescent="0.25">
      <c r="A610" s="23" t="s">
        <v>1375</v>
      </c>
      <c r="B610" s="23">
        <v>1228</v>
      </c>
      <c r="C610" s="23">
        <v>1229</v>
      </c>
      <c r="D610" s="23" t="s">
        <v>613</v>
      </c>
      <c r="E610" s="24">
        <v>5428.71</v>
      </c>
      <c r="F610" s="25">
        <v>6300</v>
      </c>
      <c r="G610" s="24">
        <f t="shared" si="18"/>
        <v>0.86170000000000002</v>
      </c>
      <c r="H610" s="23" t="s">
        <v>759</v>
      </c>
      <c r="I610" s="23" t="s">
        <v>760</v>
      </c>
      <c r="J610" s="23" t="str">
        <f t="shared" si="19"/>
        <v>OK</v>
      </c>
      <c r="K610" s="23"/>
    </row>
    <row r="611" spans="1:11" x14ac:dyDescent="0.25">
      <c r="A611" s="23" t="s">
        <v>1376</v>
      </c>
      <c r="B611" s="23">
        <v>1230</v>
      </c>
      <c r="C611" s="23">
        <v>1231</v>
      </c>
      <c r="D611" s="23" t="s">
        <v>614</v>
      </c>
      <c r="E611" s="24">
        <v>2906.54</v>
      </c>
      <c r="F611" s="25">
        <v>3373</v>
      </c>
      <c r="G611" s="24">
        <f t="shared" si="18"/>
        <v>0.86170767862437003</v>
      </c>
      <c r="H611" s="23" t="s">
        <v>759</v>
      </c>
      <c r="I611" s="23" t="s">
        <v>760</v>
      </c>
      <c r="J611" s="23" t="str">
        <f t="shared" si="19"/>
        <v>OK</v>
      </c>
      <c r="K611" s="23"/>
    </row>
    <row r="612" spans="1:11" x14ac:dyDescent="0.25">
      <c r="A612" s="23" t="s">
        <v>1377</v>
      </c>
      <c r="B612" s="23">
        <v>1232</v>
      </c>
      <c r="C612" s="23">
        <v>1233</v>
      </c>
      <c r="D612" s="23" t="s">
        <v>615</v>
      </c>
      <c r="E612" s="24">
        <v>2565.34</v>
      </c>
      <c r="F612" s="25">
        <v>8900</v>
      </c>
      <c r="G612" s="24">
        <f t="shared" si="18"/>
        <v>0.28824044943820226</v>
      </c>
      <c r="H612" s="23" t="s">
        <v>759</v>
      </c>
      <c r="I612" s="23" t="s">
        <v>760</v>
      </c>
      <c r="J612" s="23" t="str">
        <f t="shared" si="19"/>
        <v>OK</v>
      </c>
      <c r="K612" s="23"/>
    </row>
    <row r="613" spans="1:11" x14ac:dyDescent="0.25">
      <c r="A613" s="23" t="s">
        <v>1378</v>
      </c>
      <c r="B613" s="23">
        <v>1234</v>
      </c>
      <c r="C613" s="23">
        <v>1235</v>
      </c>
      <c r="D613" s="23" t="s">
        <v>616</v>
      </c>
      <c r="E613" s="24">
        <v>7371.96</v>
      </c>
      <c r="F613" s="25">
        <v>23480</v>
      </c>
      <c r="G613" s="24">
        <f t="shared" si="18"/>
        <v>0.31396763202725725</v>
      </c>
      <c r="H613" s="23" t="s">
        <v>759</v>
      </c>
      <c r="I613" s="23" t="s">
        <v>760</v>
      </c>
      <c r="J613" s="23" t="str">
        <f t="shared" si="19"/>
        <v>OK</v>
      </c>
      <c r="K613" s="23"/>
    </row>
    <row r="614" spans="1:11" x14ac:dyDescent="0.25">
      <c r="A614" s="23" t="s">
        <v>1379</v>
      </c>
      <c r="B614" s="23">
        <v>1236</v>
      </c>
      <c r="C614" s="23">
        <v>1237</v>
      </c>
      <c r="D614" s="23" t="s">
        <v>617</v>
      </c>
      <c r="E614" s="24">
        <v>922.99</v>
      </c>
      <c r="F614" s="25">
        <v>107</v>
      </c>
      <c r="G614" s="24">
        <f t="shared" si="18"/>
        <v>8.6260747663551403</v>
      </c>
      <c r="H614" s="23" t="s">
        <v>759</v>
      </c>
      <c r="I614" s="23" t="s">
        <v>760</v>
      </c>
      <c r="J614" s="23" t="str">
        <f t="shared" si="19"/>
        <v>OK</v>
      </c>
      <c r="K614" s="23"/>
    </row>
    <row r="615" spans="1:11" x14ac:dyDescent="0.25">
      <c r="A615" s="23" t="s">
        <v>1380</v>
      </c>
      <c r="B615" s="23">
        <v>1238</v>
      </c>
      <c r="C615" s="23">
        <v>1239</v>
      </c>
      <c r="D615" s="23" t="s">
        <v>618</v>
      </c>
      <c r="E615" s="24">
        <v>2097.54</v>
      </c>
      <c r="F615" s="25">
        <v>890</v>
      </c>
      <c r="G615" s="24">
        <f t="shared" si="18"/>
        <v>2.3567865168539326</v>
      </c>
      <c r="H615" s="23" t="s">
        <v>759</v>
      </c>
      <c r="I615" s="23" t="s">
        <v>760</v>
      </c>
      <c r="J615" s="23" t="str">
        <f t="shared" si="19"/>
        <v>OK</v>
      </c>
      <c r="K615" s="23"/>
    </row>
    <row r="616" spans="1:11" x14ac:dyDescent="0.25">
      <c r="A616" s="23" t="s">
        <v>1381</v>
      </c>
      <c r="B616" s="23">
        <v>1240</v>
      </c>
      <c r="C616" s="23">
        <v>1241</v>
      </c>
      <c r="D616" s="23" t="s">
        <v>618</v>
      </c>
      <c r="E616" s="24">
        <v>64.260000000000005</v>
      </c>
      <c r="F616" s="25">
        <v>25</v>
      </c>
      <c r="G616" s="24">
        <f t="shared" si="18"/>
        <v>2.5704000000000002</v>
      </c>
      <c r="H616" s="23" t="s">
        <v>759</v>
      </c>
      <c r="I616" s="23" t="s">
        <v>760</v>
      </c>
      <c r="J616" s="23" t="str">
        <f t="shared" si="19"/>
        <v>OK</v>
      </c>
      <c r="K616" s="23"/>
    </row>
    <row r="617" spans="1:11" x14ac:dyDescent="0.25">
      <c r="A617" s="23" t="s">
        <v>1382</v>
      </c>
      <c r="B617" s="23">
        <v>1242</v>
      </c>
      <c r="C617" s="23">
        <v>1243</v>
      </c>
      <c r="D617" s="23" t="s">
        <v>1383</v>
      </c>
      <c r="E617" s="24">
        <v>42.25</v>
      </c>
      <c r="F617" s="25">
        <v>80</v>
      </c>
      <c r="G617" s="24">
        <f t="shared" si="18"/>
        <v>0.52812499999999996</v>
      </c>
      <c r="H617" s="23" t="s">
        <v>759</v>
      </c>
      <c r="I617" s="23" t="s">
        <v>760</v>
      </c>
      <c r="J617" s="23" t="str">
        <f t="shared" si="19"/>
        <v>OK</v>
      </c>
      <c r="K617" s="23"/>
    </row>
    <row r="618" spans="1:11" x14ac:dyDescent="0.25">
      <c r="A618" s="23" t="s">
        <v>1384</v>
      </c>
      <c r="B618" s="23">
        <v>1244</v>
      </c>
      <c r="C618" s="23">
        <v>1245</v>
      </c>
      <c r="D618" s="23" t="s">
        <v>620</v>
      </c>
      <c r="E618" s="24">
        <v>3000.13</v>
      </c>
      <c r="F618" s="25">
        <v>6100</v>
      </c>
      <c r="G618" s="24">
        <f t="shared" si="18"/>
        <v>0.49182459016393443</v>
      </c>
      <c r="H618" s="23" t="s">
        <v>759</v>
      </c>
      <c r="I618" s="23" t="s">
        <v>760</v>
      </c>
      <c r="J618" s="23" t="str">
        <f t="shared" si="19"/>
        <v>OK</v>
      </c>
      <c r="K618" s="23"/>
    </row>
    <row r="619" spans="1:11" x14ac:dyDescent="0.25">
      <c r="A619" s="23" t="s">
        <v>1385</v>
      </c>
      <c r="B619" s="23">
        <v>1246</v>
      </c>
      <c r="C619" s="23">
        <v>1247</v>
      </c>
      <c r="D619" s="23" t="s">
        <v>621</v>
      </c>
      <c r="E619" s="24">
        <v>683.2</v>
      </c>
      <c r="F619" s="25">
        <v>26</v>
      </c>
      <c r="G619" s="24">
        <f t="shared" si="18"/>
        <v>26.276923076923079</v>
      </c>
      <c r="H619" s="23" t="s">
        <v>759</v>
      </c>
      <c r="I619" s="23" t="s">
        <v>760</v>
      </c>
      <c r="J619" s="23" t="str">
        <f t="shared" si="19"/>
        <v>OK</v>
      </c>
      <c r="K619" s="23"/>
    </row>
    <row r="620" spans="1:11" x14ac:dyDescent="0.25">
      <c r="A620" s="23" t="s">
        <v>1386</v>
      </c>
      <c r="B620" s="23">
        <v>1248</v>
      </c>
      <c r="C620" s="23">
        <v>1249</v>
      </c>
      <c r="D620" s="23" t="s">
        <v>622</v>
      </c>
      <c r="E620" s="24">
        <v>8514.4500000000007</v>
      </c>
      <c r="F620" s="25">
        <v>9750</v>
      </c>
      <c r="G620" s="24">
        <f t="shared" si="18"/>
        <v>0.87327692307692317</v>
      </c>
      <c r="H620" s="23" t="s">
        <v>759</v>
      </c>
      <c r="I620" s="23" t="s">
        <v>760</v>
      </c>
      <c r="J620" s="23" t="str">
        <f t="shared" si="19"/>
        <v>OK</v>
      </c>
      <c r="K620" s="23"/>
    </row>
    <row r="621" spans="1:11" x14ac:dyDescent="0.25">
      <c r="A621" s="23" t="s">
        <v>1387</v>
      </c>
      <c r="B621" s="23">
        <v>1250</v>
      </c>
      <c r="C621" s="23">
        <v>1251</v>
      </c>
      <c r="D621" s="23" t="s">
        <v>623</v>
      </c>
      <c r="E621" s="24">
        <v>1500</v>
      </c>
      <c r="F621" s="25">
        <v>250</v>
      </c>
      <c r="G621" s="24">
        <f t="shared" si="18"/>
        <v>6</v>
      </c>
      <c r="H621" s="23" t="s">
        <v>759</v>
      </c>
      <c r="I621" s="23" t="s">
        <v>760</v>
      </c>
      <c r="J621" s="23" t="str">
        <f t="shared" si="19"/>
        <v>OK</v>
      </c>
      <c r="K621" s="23"/>
    </row>
    <row r="622" spans="1:11" x14ac:dyDescent="0.25">
      <c r="A622" s="23" t="s">
        <v>1388</v>
      </c>
      <c r="B622" s="23">
        <v>1252</v>
      </c>
      <c r="C622" s="23">
        <v>1253</v>
      </c>
      <c r="D622" s="23" t="s">
        <v>624</v>
      </c>
      <c r="E622" s="24">
        <v>86.31</v>
      </c>
      <c r="F622" s="25">
        <v>9</v>
      </c>
      <c r="G622" s="24">
        <f t="shared" si="18"/>
        <v>9.59</v>
      </c>
      <c r="H622" s="23" t="s">
        <v>759</v>
      </c>
      <c r="I622" s="23" t="s">
        <v>760</v>
      </c>
      <c r="J622" s="23" t="str">
        <f t="shared" si="19"/>
        <v>OK</v>
      </c>
      <c r="K622" s="23"/>
    </row>
    <row r="623" spans="1:11" x14ac:dyDescent="0.25">
      <c r="A623" s="23" t="s">
        <v>1389</v>
      </c>
      <c r="B623" s="23">
        <v>1254</v>
      </c>
      <c r="C623" s="23">
        <v>1255</v>
      </c>
      <c r="D623" s="23" t="s">
        <v>625</v>
      </c>
      <c r="E623" s="24">
        <v>22102.400000000001</v>
      </c>
      <c r="F623" s="25">
        <v>1</v>
      </c>
      <c r="G623" s="24">
        <f t="shared" si="18"/>
        <v>22102.400000000001</v>
      </c>
      <c r="H623" s="23" t="s">
        <v>759</v>
      </c>
      <c r="I623" s="23" t="s">
        <v>760</v>
      </c>
      <c r="J623" s="23" t="str">
        <f t="shared" si="19"/>
        <v>OK</v>
      </c>
      <c r="K623" s="23"/>
    </row>
    <row r="624" spans="1:11" x14ac:dyDescent="0.25">
      <c r="A624" s="23" t="s">
        <v>1390</v>
      </c>
      <c r="B624" s="23">
        <v>1256</v>
      </c>
      <c r="C624" s="23">
        <v>1257</v>
      </c>
      <c r="D624" s="23" t="s">
        <v>626</v>
      </c>
      <c r="E624" s="24">
        <v>1717.18</v>
      </c>
      <c r="F624" s="25">
        <v>1</v>
      </c>
      <c r="G624" s="24">
        <f t="shared" si="18"/>
        <v>1717.18</v>
      </c>
      <c r="H624" s="23" t="s">
        <v>759</v>
      </c>
      <c r="I624" s="23" t="s">
        <v>760</v>
      </c>
      <c r="J624" s="23" t="str">
        <f t="shared" si="19"/>
        <v>OK</v>
      </c>
      <c r="K624" s="23"/>
    </row>
    <row r="625" spans="1:11" x14ac:dyDescent="0.25">
      <c r="A625" s="23" t="s">
        <v>1391</v>
      </c>
      <c r="B625" s="23">
        <v>1258</v>
      </c>
      <c r="C625" s="23">
        <v>1259</v>
      </c>
      <c r="D625" s="23" t="s">
        <v>627</v>
      </c>
      <c r="E625" s="24">
        <v>8141.2</v>
      </c>
      <c r="F625" s="25">
        <v>8</v>
      </c>
      <c r="G625" s="24">
        <f t="shared" si="18"/>
        <v>1017.65</v>
      </c>
      <c r="H625" s="23" t="s">
        <v>759</v>
      </c>
      <c r="I625" s="23" t="s">
        <v>760</v>
      </c>
      <c r="J625" s="23" t="str">
        <f t="shared" si="19"/>
        <v>OK</v>
      </c>
      <c r="K625" s="23"/>
    </row>
    <row r="626" spans="1:11" x14ac:dyDescent="0.25">
      <c r="A626" s="23" t="s">
        <v>1392</v>
      </c>
      <c r="B626" s="23">
        <v>1260</v>
      </c>
      <c r="C626" s="23">
        <v>1261</v>
      </c>
      <c r="D626" s="23" t="s">
        <v>628</v>
      </c>
      <c r="E626" s="24">
        <v>115.19</v>
      </c>
      <c r="F626" s="25">
        <v>460</v>
      </c>
      <c r="G626" s="24">
        <f t="shared" si="18"/>
        <v>0.25041304347826088</v>
      </c>
      <c r="H626" s="23" t="s">
        <v>759</v>
      </c>
      <c r="I626" s="23" t="s">
        <v>760</v>
      </c>
      <c r="J626" s="23" t="str">
        <f t="shared" si="19"/>
        <v>OK</v>
      </c>
      <c r="K626" s="23"/>
    </row>
    <row r="627" spans="1:11" x14ac:dyDescent="0.25">
      <c r="A627" s="23" t="s">
        <v>1393</v>
      </c>
      <c r="B627" s="23">
        <v>1262</v>
      </c>
      <c r="C627" s="23">
        <v>1263</v>
      </c>
      <c r="D627" s="23" t="s">
        <v>629</v>
      </c>
      <c r="E627" s="24">
        <v>1267.1600000000001</v>
      </c>
      <c r="F627" s="25">
        <v>475</v>
      </c>
      <c r="G627" s="24">
        <f t="shared" si="18"/>
        <v>2.6677052631578948</v>
      </c>
      <c r="H627" s="23" t="s">
        <v>759</v>
      </c>
      <c r="I627" s="23" t="s">
        <v>760</v>
      </c>
      <c r="J627" s="23" t="str">
        <f t="shared" si="19"/>
        <v>OK</v>
      </c>
      <c r="K627" s="23"/>
    </row>
    <row r="628" spans="1:11" x14ac:dyDescent="0.25">
      <c r="A628" s="23" t="s">
        <v>1394</v>
      </c>
      <c r="B628" s="23">
        <v>1264</v>
      </c>
      <c r="C628" s="23">
        <v>1265</v>
      </c>
      <c r="D628" s="23" t="s">
        <v>630</v>
      </c>
      <c r="E628" s="24">
        <v>6190.22</v>
      </c>
      <c r="F628" s="25">
        <v>7470</v>
      </c>
      <c r="G628" s="24">
        <f t="shared" si="18"/>
        <v>0.82867737617135206</v>
      </c>
      <c r="H628" s="23" t="s">
        <v>759</v>
      </c>
      <c r="I628" s="23" t="s">
        <v>760</v>
      </c>
      <c r="J628" s="23" t="str">
        <f t="shared" si="19"/>
        <v>OK</v>
      </c>
      <c r="K628" s="23"/>
    </row>
    <row r="629" spans="1:11" x14ac:dyDescent="0.25">
      <c r="A629" s="23" t="s">
        <v>1395</v>
      </c>
      <c r="B629" s="23">
        <v>1266</v>
      </c>
      <c r="C629" s="23">
        <v>1267</v>
      </c>
      <c r="D629" s="23" t="s">
        <v>631</v>
      </c>
      <c r="E629" s="24">
        <v>220.72</v>
      </c>
      <c r="F629" s="25">
        <v>100</v>
      </c>
      <c r="G629" s="24">
        <f t="shared" si="18"/>
        <v>2.2071999999999998</v>
      </c>
      <c r="H629" s="23" t="s">
        <v>759</v>
      </c>
      <c r="I629" s="23" t="s">
        <v>760</v>
      </c>
      <c r="J629" s="23" t="str">
        <f t="shared" si="19"/>
        <v>OK</v>
      </c>
      <c r="K629" s="23"/>
    </row>
    <row r="630" spans="1:11" x14ac:dyDescent="0.25">
      <c r="A630" s="23" t="s">
        <v>1396</v>
      </c>
      <c r="B630" s="23">
        <v>1268</v>
      </c>
      <c r="C630" s="23">
        <v>1269</v>
      </c>
      <c r="D630" s="23" t="s">
        <v>632</v>
      </c>
      <c r="E630" s="24">
        <v>3507.2</v>
      </c>
      <c r="F630" s="25">
        <v>1846</v>
      </c>
      <c r="G630" s="24">
        <f t="shared" si="18"/>
        <v>1.8998916576381364</v>
      </c>
      <c r="H630" s="23" t="s">
        <v>759</v>
      </c>
      <c r="I630" s="23" t="s">
        <v>760</v>
      </c>
      <c r="J630" s="23" t="str">
        <f t="shared" si="19"/>
        <v>OK</v>
      </c>
      <c r="K630" s="23"/>
    </row>
    <row r="631" spans="1:11" ht="26.4" x14ac:dyDescent="0.25">
      <c r="A631" s="23" t="s">
        <v>1397</v>
      </c>
      <c r="B631" s="23">
        <v>1270</v>
      </c>
      <c r="C631" s="23">
        <v>1271</v>
      </c>
      <c r="D631" s="23" t="s">
        <v>633</v>
      </c>
      <c r="E631" s="24">
        <v>339.66</v>
      </c>
      <c r="F631" s="25">
        <v>17</v>
      </c>
      <c r="G631" s="24">
        <f t="shared" si="18"/>
        <v>19.98</v>
      </c>
      <c r="H631" s="23" t="s">
        <v>759</v>
      </c>
      <c r="I631" s="23" t="s">
        <v>760</v>
      </c>
      <c r="J631" s="23" t="str">
        <f t="shared" si="19"/>
        <v>OK</v>
      </c>
      <c r="K631" s="23"/>
    </row>
    <row r="632" spans="1:11" x14ac:dyDescent="0.25">
      <c r="A632" s="23" t="s">
        <v>1398</v>
      </c>
      <c r="B632" s="23">
        <v>1272</v>
      </c>
      <c r="C632" s="23">
        <v>1273</v>
      </c>
      <c r="D632" s="23" t="s">
        <v>1399</v>
      </c>
      <c r="E632" s="24">
        <v>1521.45</v>
      </c>
      <c r="F632" s="25">
        <v>575</v>
      </c>
      <c r="G632" s="24">
        <f t="shared" si="18"/>
        <v>2.6459999999999999</v>
      </c>
      <c r="H632" s="23" t="s">
        <v>759</v>
      </c>
      <c r="I632" s="23" t="s">
        <v>760</v>
      </c>
      <c r="J632" s="23" t="str">
        <f t="shared" si="19"/>
        <v>OK</v>
      </c>
      <c r="K632" s="23"/>
    </row>
    <row r="633" spans="1:11" x14ac:dyDescent="0.25">
      <c r="A633" s="23" t="s">
        <v>1400</v>
      </c>
      <c r="B633" s="23">
        <v>1274</v>
      </c>
      <c r="C633" s="23">
        <v>1275</v>
      </c>
      <c r="D633" s="23" t="s">
        <v>635</v>
      </c>
      <c r="E633" s="24">
        <v>42150.2</v>
      </c>
      <c r="F633" s="25">
        <v>29250</v>
      </c>
      <c r="G633" s="24">
        <f t="shared" si="18"/>
        <v>1.4410324786324786</v>
      </c>
      <c r="H633" s="23" t="s">
        <v>759</v>
      </c>
      <c r="I633" s="23" t="s">
        <v>760</v>
      </c>
      <c r="J633" s="23" t="str">
        <f t="shared" si="19"/>
        <v>OK</v>
      </c>
      <c r="K633" s="23"/>
    </row>
    <row r="634" spans="1:11" x14ac:dyDescent="0.25">
      <c r="A634" s="23" t="s">
        <v>1401</v>
      </c>
      <c r="B634" s="23">
        <v>1276</v>
      </c>
      <c r="C634" s="23">
        <v>1277</v>
      </c>
      <c r="D634" s="23" t="s">
        <v>636</v>
      </c>
      <c r="E634" s="24">
        <v>3032.64</v>
      </c>
      <c r="F634" s="25">
        <v>600</v>
      </c>
      <c r="G634" s="24">
        <f t="shared" si="18"/>
        <v>5.0544000000000002</v>
      </c>
      <c r="H634" s="23" t="s">
        <v>759</v>
      </c>
      <c r="I634" s="23" t="s">
        <v>760</v>
      </c>
      <c r="J634" s="23" t="str">
        <f t="shared" si="19"/>
        <v>OK</v>
      </c>
      <c r="K634" s="23"/>
    </row>
    <row r="635" spans="1:11" x14ac:dyDescent="0.25">
      <c r="A635" s="23" t="s">
        <v>1402</v>
      </c>
      <c r="B635" s="23">
        <v>1278</v>
      </c>
      <c r="C635" s="23">
        <v>1279</v>
      </c>
      <c r="D635" s="23" t="s">
        <v>637</v>
      </c>
      <c r="E635" s="24">
        <v>1248.6300000000001</v>
      </c>
      <c r="F635" s="25">
        <v>268</v>
      </c>
      <c r="G635" s="24">
        <f t="shared" si="18"/>
        <v>4.6590671641791053</v>
      </c>
      <c r="H635" s="23" t="s">
        <v>759</v>
      </c>
      <c r="I635" s="23" t="s">
        <v>760</v>
      </c>
      <c r="J635" s="23" t="str">
        <f t="shared" si="19"/>
        <v>OK</v>
      </c>
      <c r="K635" s="23"/>
    </row>
    <row r="636" spans="1:11" x14ac:dyDescent="0.25">
      <c r="A636" s="23" t="s">
        <v>1403</v>
      </c>
      <c r="B636" s="23">
        <v>1280</v>
      </c>
      <c r="C636" s="23">
        <v>1281</v>
      </c>
      <c r="D636" s="23" t="s">
        <v>638</v>
      </c>
      <c r="E636" s="24">
        <v>1330.12</v>
      </c>
      <c r="F636" s="25">
        <v>154</v>
      </c>
      <c r="G636" s="24">
        <f t="shared" si="18"/>
        <v>8.637142857142857</v>
      </c>
      <c r="H636" s="23" t="s">
        <v>759</v>
      </c>
      <c r="I636" s="23" t="s">
        <v>760</v>
      </c>
      <c r="J636" s="23" t="str">
        <f t="shared" si="19"/>
        <v>OK</v>
      </c>
      <c r="K636" s="23"/>
    </row>
    <row r="637" spans="1:11" x14ac:dyDescent="0.25">
      <c r="A637" s="23" t="s">
        <v>1404</v>
      </c>
      <c r="B637" s="23">
        <v>1282</v>
      </c>
      <c r="C637" s="23">
        <v>1283</v>
      </c>
      <c r="D637" s="23" t="s">
        <v>639</v>
      </c>
      <c r="E637" s="24">
        <v>113.82</v>
      </c>
      <c r="F637" s="25">
        <v>150</v>
      </c>
      <c r="G637" s="24">
        <f t="shared" si="18"/>
        <v>0.75879999999999992</v>
      </c>
      <c r="H637" s="23" t="s">
        <v>759</v>
      </c>
      <c r="I637" s="23" t="s">
        <v>760</v>
      </c>
      <c r="J637" s="23" t="str">
        <f t="shared" si="19"/>
        <v>OK</v>
      </c>
      <c r="K637" s="23"/>
    </row>
    <row r="638" spans="1:11" x14ac:dyDescent="0.25">
      <c r="A638" s="23" t="s">
        <v>1405</v>
      </c>
      <c r="B638" s="23">
        <v>1284</v>
      </c>
      <c r="C638" s="23">
        <v>1285</v>
      </c>
      <c r="D638" s="23" t="s">
        <v>640</v>
      </c>
      <c r="E638" s="24">
        <v>4800</v>
      </c>
      <c r="F638" s="25">
        <v>200</v>
      </c>
      <c r="G638" s="24">
        <f t="shared" si="18"/>
        <v>24</v>
      </c>
      <c r="H638" s="23" t="s">
        <v>759</v>
      </c>
      <c r="I638" s="23" t="s">
        <v>760</v>
      </c>
      <c r="J638" s="23" t="str">
        <f t="shared" si="19"/>
        <v>OK</v>
      </c>
      <c r="K638" s="23"/>
    </row>
    <row r="639" spans="1:11" x14ac:dyDescent="0.25">
      <c r="A639" s="23" t="s">
        <v>1406</v>
      </c>
      <c r="B639" s="23">
        <v>1286</v>
      </c>
      <c r="C639" s="23">
        <v>1287</v>
      </c>
      <c r="D639" s="23" t="s">
        <v>641</v>
      </c>
      <c r="E639" s="24">
        <v>1019.52</v>
      </c>
      <c r="F639" s="25">
        <v>590</v>
      </c>
      <c r="G639" s="24">
        <f t="shared" si="18"/>
        <v>1.728</v>
      </c>
      <c r="H639" s="23" t="s">
        <v>759</v>
      </c>
      <c r="I639" s="23" t="s">
        <v>760</v>
      </c>
      <c r="J639" s="23" t="str">
        <f t="shared" si="19"/>
        <v>OK</v>
      </c>
      <c r="K639" s="23"/>
    </row>
    <row r="640" spans="1:11" x14ac:dyDescent="0.25">
      <c r="A640" s="23" t="s">
        <v>1407</v>
      </c>
      <c r="B640" s="23">
        <v>1288</v>
      </c>
      <c r="C640" s="23">
        <v>1289</v>
      </c>
      <c r="D640" s="23" t="s">
        <v>642</v>
      </c>
      <c r="E640" s="24">
        <v>182.52</v>
      </c>
      <c r="F640" s="25">
        <v>90</v>
      </c>
      <c r="G640" s="24">
        <f t="shared" si="18"/>
        <v>2.028</v>
      </c>
      <c r="H640" s="23" t="s">
        <v>759</v>
      </c>
      <c r="I640" s="23" t="s">
        <v>760</v>
      </c>
      <c r="J640" s="23" t="str">
        <f t="shared" si="19"/>
        <v>OK</v>
      </c>
      <c r="K640" s="23"/>
    </row>
    <row r="641" spans="1:11" ht="26.4" x14ac:dyDescent="0.25">
      <c r="A641" s="23" t="s">
        <v>1408</v>
      </c>
      <c r="B641" s="23">
        <v>1290</v>
      </c>
      <c r="C641" s="23">
        <v>1291</v>
      </c>
      <c r="D641" s="23" t="s">
        <v>643</v>
      </c>
      <c r="E641" s="24">
        <v>5653.7</v>
      </c>
      <c r="F641" s="25">
        <v>3680</v>
      </c>
      <c r="G641" s="24">
        <f t="shared" si="18"/>
        <v>1.5363315217391305</v>
      </c>
      <c r="H641" s="23" t="s">
        <v>759</v>
      </c>
      <c r="I641" s="23" t="s">
        <v>760</v>
      </c>
      <c r="J641" s="23" t="str">
        <f t="shared" si="19"/>
        <v>OK</v>
      </c>
      <c r="K641" s="23"/>
    </row>
    <row r="642" spans="1:11" x14ac:dyDescent="0.25">
      <c r="A642" s="23" t="s">
        <v>1409</v>
      </c>
      <c r="B642" s="23">
        <v>1292</v>
      </c>
      <c r="C642" s="23">
        <v>1293</v>
      </c>
      <c r="D642" s="23" t="s">
        <v>644</v>
      </c>
      <c r="E642" s="24">
        <v>2830.44</v>
      </c>
      <c r="F642" s="25">
        <v>35</v>
      </c>
      <c r="G642" s="24">
        <f t="shared" ref="G642:G705" si="20">IFERROR(E642/F642,"")</f>
        <v>80.869714285714281</v>
      </c>
      <c r="H642" s="23" t="s">
        <v>759</v>
      </c>
      <c r="I642" s="23" t="s">
        <v>760</v>
      </c>
      <c r="J642" s="23" t="str">
        <f t="shared" ref="J642:J705" si="21">IF(OR(E642="",F642=""),"LIPSESC DATE",IF(F642=0,"CANTITATE 0","OK"))</f>
        <v>OK</v>
      </c>
      <c r="K642" s="23"/>
    </row>
    <row r="643" spans="1:11" x14ac:dyDescent="0.25">
      <c r="A643" s="23" t="s">
        <v>1410</v>
      </c>
      <c r="B643" s="23">
        <v>1294</v>
      </c>
      <c r="C643" s="23">
        <v>1295</v>
      </c>
      <c r="D643" s="23" t="s">
        <v>645</v>
      </c>
      <c r="E643" s="24">
        <v>724.68</v>
      </c>
      <c r="F643" s="25">
        <v>720</v>
      </c>
      <c r="G643" s="24">
        <f t="shared" si="20"/>
        <v>1.0065</v>
      </c>
      <c r="H643" s="23" t="s">
        <v>759</v>
      </c>
      <c r="I643" s="23" t="s">
        <v>760</v>
      </c>
      <c r="J643" s="23" t="str">
        <f t="shared" si="21"/>
        <v>OK</v>
      </c>
      <c r="K643" s="23"/>
    </row>
    <row r="644" spans="1:11" x14ac:dyDescent="0.25">
      <c r="A644" s="23" t="s">
        <v>1411</v>
      </c>
      <c r="B644" s="23">
        <v>1296</v>
      </c>
      <c r="C644" s="23">
        <v>1297</v>
      </c>
      <c r="D644" s="23" t="s">
        <v>646</v>
      </c>
      <c r="E644" s="24">
        <v>21.3</v>
      </c>
      <c r="F644" s="25">
        <v>100</v>
      </c>
      <c r="G644" s="24">
        <f t="shared" si="20"/>
        <v>0.21299999999999999</v>
      </c>
      <c r="H644" s="23" t="s">
        <v>759</v>
      </c>
      <c r="I644" s="23" t="s">
        <v>760</v>
      </c>
      <c r="J644" s="23" t="str">
        <f t="shared" si="21"/>
        <v>OK</v>
      </c>
      <c r="K644" s="23"/>
    </row>
    <row r="645" spans="1:11" x14ac:dyDescent="0.25">
      <c r="A645" s="23" t="s">
        <v>1412</v>
      </c>
      <c r="B645" s="23">
        <v>1298</v>
      </c>
      <c r="C645" s="23">
        <v>1299</v>
      </c>
      <c r="D645" s="23" t="s">
        <v>647</v>
      </c>
      <c r="E645" s="24">
        <v>1049.8</v>
      </c>
      <c r="F645" s="25">
        <v>4510</v>
      </c>
      <c r="G645" s="24">
        <f t="shared" si="20"/>
        <v>0.23277161862527715</v>
      </c>
      <c r="H645" s="23" t="s">
        <v>759</v>
      </c>
      <c r="I645" s="23" t="s">
        <v>760</v>
      </c>
      <c r="J645" s="23" t="str">
        <f t="shared" si="21"/>
        <v>OK</v>
      </c>
      <c r="K645" s="23"/>
    </row>
    <row r="646" spans="1:11" x14ac:dyDescent="0.25">
      <c r="A646" s="23" t="s">
        <v>1413</v>
      </c>
      <c r="B646" s="23">
        <v>1300</v>
      </c>
      <c r="C646" s="23">
        <v>1301</v>
      </c>
      <c r="D646" s="23" t="s">
        <v>648</v>
      </c>
      <c r="E646" s="24">
        <v>159.41999999999999</v>
      </c>
      <c r="F646" s="25">
        <v>36</v>
      </c>
      <c r="G646" s="24">
        <f t="shared" si="20"/>
        <v>4.4283333333333328</v>
      </c>
      <c r="H646" s="23" t="s">
        <v>759</v>
      </c>
      <c r="I646" s="23" t="s">
        <v>760</v>
      </c>
      <c r="J646" s="23" t="str">
        <f t="shared" si="21"/>
        <v>OK</v>
      </c>
      <c r="K646" s="23"/>
    </row>
    <row r="647" spans="1:11" x14ac:dyDescent="0.25">
      <c r="A647" s="23" t="s">
        <v>1414</v>
      </c>
      <c r="B647" s="23">
        <v>1302</v>
      </c>
      <c r="C647" s="23">
        <v>1303</v>
      </c>
      <c r="D647" s="23" t="s">
        <v>649</v>
      </c>
      <c r="E647" s="24">
        <v>6984.9</v>
      </c>
      <c r="F647" s="25">
        <v>5610</v>
      </c>
      <c r="G647" s="24">
        <f t="shared" si="20"/>
        <v>1.2450802139037433</v>
      </c>
      <c r="H647" s="23" t="s">
        <v>759</v>
      </c>
      <c r="I647" s="23" t="s">
        <v>760</v>
      </c>
      <c r="J647" s="23" t="str">
        <f t="shared" si="21"/>
        <v>OK</v>
      </c>
      <c r="K647" s="23"/>
    </row>
    <row r="648" spans="1:11" x14ac:dyDescent="0.25">
      <c r="A648" s="23" t="s">
        <v>1415</v>
      </c>
      <c r="B648" s="23">
        <v>1304</v>
      </c>
      <c r="C648" s="23">
        <v>1305</v>
      </c>
      <c r="D648" s="23" t="s">
        <v>650</v>
      </c>
      <c r="E648" s="24">
        <v>4243.21</v>
      </c>
      <c r="F648" s="25">
        <v>3060</v>
      </c>
      <c r="G648" s="24">
        <f t="shared" si="20"/>
        <v>1.3866699346405229</v>
      </c>
      <c r="H648" s="23" t="s">
        <v>759</v>
      </c>
      <c r="I648" s="23" t="s">
        <v>760</v>
      </c>
      <c r="J648" s="23" t="str">
        <f t="shared" si="21"/>
        <v>OK</v>
      </c>
      <c r="K648" s="23"/>
    </row>
    <row r="649" spans="1:11" x14ac:dyDescent="0.25">
      <c r="A649" s="23" t="s">
        <v>1416</v>
      </c>
      <c r="B649" s="23">
        <v>1306</v>
      </c>
      <c r="C649" s="23">
        <v>1307</v>
      </c>
      <c r="D649" s="23" t="s">
        <v>651</v>
      </c>
      <c r="E649" s="24">
        <v>3842.25</v>
      </c>
      <c r="F649" s="25">
        <v>3520</v>
      </c>
      <c r="G649" s="24">
        <f t="shared" si="20"/>
        <v>1.0915482954545455</v>
      </c>
      <c r="H649" s="23" t="s">
        <v>759</v>
      </c>
      <c r="I649" s="23" t="s">
        <v>760</v>
      </c>
      <c r="J649" s="23" t="str">
        <f t="shared" si="21"/>
        <v>OK</v>
      </c>
      <c r="K649" s="23"/>
    </row>
    <row r="650" spans="1:11" x14ac:dyDescent="0.25">
      <c r="A650" s="23" t="s">
        <v>1417</v>
      </c>
      <c r="B650" s="23">
        <v>1308</v>
      </c>
      <c r="C650" s="23">
        <v>1309</v>
      </c>
      <c r="D650" s="23" t="s">
        <v>652</v>
      </c>
      <c r="E650" s="24">
        <v>4038.41</v>
      </c>
      <c r="F650" s="25">
        <v>110</v>
      </c>
      <c r="G650" s="24">
        <f t="shared" si="20"/>
        <v>36.712818181818179</v>
      </c>
      <c r="H650" s="23" t="s">
        <v>759</v>
      </c>
      <c r="I650" s="23" t="s">
        <v>760</v>
      </c>
      <c r="J650" s="23" t="str">
        <f t="shared" si="21"/>
        <v>OK</v>
      </c>
      <c r="K650" s="23"/>
    </row>
    <row r="651" spans="1:11" x14ac:dyDescent="0.25">
      <c r="A651" s="23" t="s">
        <v>1418</v>
      </c>
      <c r="B651" s="23">
        <v>1310</v>
      </c>
      <c r="C651" s="23">
        <v>1311</v>
      </c>
      <c r="D651" s="23" t="s">
        <v>653</v>
      </c>
      <c r="E651" s="24">
        <v>2052.2600000000002</v>
      </c>
      <c r="F651" s="25">
        <v>80</v>
      </c>
      <c r="G651" s="24">
        <f t="shared" si="20"/>
        <v>25.653250000000003</v>
      </c>
      <c r="H651" s="23" t="s">
        <v>759</v>
      </c>
      <c r="I651" s="23" t="s">
        <v>760</v>
      </c>
      <c r="J651" s="23" t="str">
        <f t="shared" si="21"/>
        <v>OK</v>
      </c>
      <c r="K651" s="23"/>
    </row>
    <row r="652" spans="1:11" x14ac:dyDescent="0.25">
      <c r="A652" s="23" t="s">
        <v>1419</v>
      </c>
      <c r="B652" s="23">
        <v>1312</v>
      </c>
      <c r="C652" s="23">
        <v>1313</v>
      </c>
      <c r="D652" s="23" t="s">
        <v>654</v>
      </c>
      <c r="E652" s="24">
        <v>1052.23</v>
      </c>
      <c r="F652" s="25">
        <v>364</v>
      </c>
      <c r="G652" s="24">
        <f t="shared" si="20"/>
        <v>2.8907417582417585</v>
      </c>
      <c r="H652" s="23" t="s">
        <v>759</v>
      </c>
      <c r="I652" s="23" t="s">
        <v>760</v>
      </c>
      <c r="J652" s="23" t="str">
        <f t="shared" si="21"/>
        <v>OK</v>
      </c>
      <c r="K652" s="23"/>
    </row>
    <row r="653" spans="1:11" x14ac:dyDescent="0.25">
      <c r="A653" s="23" t="s">
        <v>1420</v>
      </c>
      <c r="B653" s="23">
        <v>1314</v>
      </c>
      <c r="C653" s="23">
        <v>1315</v>
      </c>
      <c r="D653" s="23" t="s">
        <v>655</v>
      </c>
      <c r="E653" s="24">
        <v>318.81</v>
      </c>
      <c r="F653" s="25">
        <v>72</v>
      </c>
      <c r="G653" s="24">
        <f t="shared" si="20"/>
        <v>4.4279166666666665</v>
      </c>
      <c r="H653" s="23" t="s">
        <v>759</v>
      </c>
      <c r="I653" s="23" t="s">
        <v>760</v>
      </c>
      <c r="J653" s="23" t="str">
        <f t="shared" si="21"/>
        <v>OK</v>
      </c>
      <c r="K653" s="23"/>
    </row>
    <row r="654" spans="1:11" x14ac:dyDescent="0.25">
      <c r="A654" s="23" t="s">
        <v>1421</v>
      </c>
      <c r="B654" s="23">
        <v>1316</v>
      </c>
      <c r="C654" s="23">
        <v>1317</v>
      </c>
      <c r="D654" s="23" t="s">
        <v>656</v>
      </c>
      <c r="E654" s="24">
        <v>569.69000000000005</v>
      </c>
      <c r="F654" s="25">
        <v>440</v>
      </c>
      <c r="G654" s="24">
        <f t="shared" si="20"/>
        <v>1.2947500000000001</v>
      </c>
      <c r="H654" s="23" t="s">
        <v>759</v>
      </c>
      <c r="I654" s="23" t="s">
        <v>760</v>
      </c>
      <c r="J654" s="23" t="str">
        <f t="shared" si="21"/>
        <v>OK</v>
      </c>
      <c r="K654" s="23"/>
    </row>
    <row r="655" spans="1:11" x14ac:dyDescent="0.25">
      <c r="A655" s="23" t="s">
        <v>1422</v>
      </c>
      <c r="B655" s="23">
        <v>1318</v>
      </c>
      <c r="C655" s="23">
        <v>1319</v>
      </c>
      <c r="D655" s="23" t="s">
        <v>657</v>
      </c>
      <c r="E655" s="24">
        <v>177.93</v>
      </c>
      <c r="F655" s="25">
        <v>11</v>
      </c>
      <c r="G655" s="24">
        <f t="shared" si="20"/>
        <v>16.175454545454546</v>
      </c>
      <c r="H655" s="23" t="s">
        <v>759</v>
      </c>
      <c r="I655" s="23" t="s">
        <v>760</v>
      </c>
      <c r="J655" s="23" t="str">
        <f t="shared" si="21"/>
        <v>OK</v>
      </c>
      <c r="K655" s="23"/>
    </row>
    <row r="656" spans="1:11" x14ac:dyDescent="0.25">
      <c r="A656" s="23" t="s">
        <v>1423</v>
      </c>
      <c r="B656" s="23">
        <v>1320</v>
      </c>
      <c r="C656" s="23">
        <v>1321</v>
      </c>
      <c r="D656" s="23" t="s">
        <v>658</v>
      </c>
      <c r="E656" s="24">
        <v>138.22999999999999</v>
      </c>
      <c r="F656" s="25">
        <v>100</v>
      </c>
      <c r="G656" s="24">
        <f t="shared" si="20"/>
        <v>1.3822999999999999</v>
      </c>
      <c r="H656" s="23" t="s">
        <v>759</v>
      </c>
      <c r="I656" s="23" t="s">
        <v>760</v>
      </c>
      <c r="J656" s="23" t="str">
        <f t="shared" si="21"/>
        <v>OK</v>
      </c>
      <c r="K656" s="23"/>
    </row>
    <row r="657" spans="1:11" x14ac:dyDescent="0.25">
      <c r="A657" s="23" t="s">
        <v>1424</v>
      </c>
      <c r="B657" s="23">
        <v>1322</v>
      </c>
      <c r="C657" s="23">
        <v>1323</v>
      </c>
      <c r="D657" s="23" t="s">
        <v>659</v>
      </c>
      <c r="E657" s="24">
        <v>3265.8</v>
      </c>
      <c r="F657" s="25">
        <v>30</v>
      </c>
      <c r="G657" s="24">
        <f t="shared" si="20"/>
        <v>108.86</v>
      </c>
      <c r="H657" s="23" t="s">
        <v>759</v>
      </c>
      <c r="I657" s="23" t="s">
        <v>760</v>
      </c>
      <c r="J657" s="23" t="str">
        <f t="shared" si="21"/>
        <v>OK</v>
      </c>
      <c r="K657" s="23"/>
    </row>
    <row r="658" spans="1:11" x14ac:dyDescent="0.25">
      <c r="A658" s="23" t="s">
        <v>1425</v>
      </c>
      <c r="B658" s="23">
        <v>1324</v>
      </c>
      <c r="C658" s="23">
        <v>1325</v>
      </c>
      <c r="D658" s="23" t="s">
        <v>660</v>
      </c>
      <c r="E658" s="24">
        <v>12750.57</v>
      </c>
      <c r="F658" s="25">
        <v>8880</v>
      </c>
      <c r="G658" s="24">
        <f t="shared" si="20"/>
        <v>1.435875</v>
      </c>
      <c r="H658" s="23" t="s">
        <v>759</v>
      </c>
      <c r="I658" s="23" t="s">
        <v>760</v>
      </c>
      <c r="J658" s="23" t="str">
        <f t="shared" si="21"/>
        <v>OK</v>
      </c>
      <c r="K658" s="23"/>
    </row>
    <row r="659" spans="1:11" ht="26.4" x14ac:dyDescent="0.25">
      <c r="A659" s="23" t="s">
        <v>1426</v>
      </c>
      <c r="B659" s="23">
        <v>1326</v>
      </c>
      <c r="C659" s="23">
        <v>1327</v>
      </c>
      <c r="D659" s="23" t="s">
        <v>661</v>
      </c>
      <c r="E659" s="24">
        <v>569.52</v>
      </c>
      <c r="F659" s="25">
        <v>60</v>
      </c>
      <c r="G659" s="24">
        <f t="shared" si="20"/>
        <v>9.4919999999999991</v>
      </c>
      <c r="H659" s="23" t="s">
        <v>759</v>
      </c>
      <c r="I659" s="23" t="s">
        <v>760</v>
      </c>
      <c r="J659" s="23" t="str">
        <f t="shared" si="21"/>
        <v>OK</v>
      </c>
      <c r="K659" s="23"/>
    </row>
    <row r="660" spans="1:11" x14ac:dyDescent="0.25">
      <c r="A660" s="23" t="s">
        <v>1427</v>
      </c>
      <c r="B660" s="23">
        <v>1328</v>
      </c>
      <c r="C660" s="23">
        <v>1329</v>
      </c>
      <c r="D660" s="23" t="s">
        <v>662</v>
      </c>
      <c r="E660" s="24">
        <v>12153.83</v>
      </c>
      <c r="F660" s="25">
        <v>675</v>
      </c>
      <c r="G660" s="24">
        <f t="shared" si="20"/>
        <v>18.005674074074076</v>
      </c>
      <c r="H660" s="23" t="s">
        <v>759</v>
      </c>
      <c r="I660" s="23" t="s">
        <v>760</v>
      </c>
      <c r="J660" s="23" t="str">
        <f t="shared" si="21"/>
        <v>OK</v>
      </c>
      <c r="K660" s="23"/>
    </row>
    <row r="661" spans="1:11" x14ac:dyDescent="0.25">
      <c r="A661" s="23" t="s">
        <v>1428</v>
      </c>
      <c r="B661" s="23">
        <v>1330</v>
      </c>
      <c r="C661" s="23">
        <v>1331</v>
      </c>
      <c r="D661" s="23" t="s">
        <v>663</v>
      </c>
      <c r="E661" s="24">
        <v>9070.32</v>
      </c>
      <c r="F661" s="25">
        <v>290</v>
      </c>
      <c r="G661" s="24">
        <f t="shared" si="20"/>
        <v>31.276965517241379</v>
      </c>
      <c r="H661" s="23" t="s">
        <v>759</v>
      </c>
      <c r="I661" s="23" t="s">
        <v>760</v>
      </c>
      <c r="J661" s="23" t="str">
        <f t="shared" si="21"/>
        <v>OK</v>
      </c>
      <c r="K661" s="23"/>
    </row>
    <row r="662" spans="1:11" x14ac:dyDescent="0.25">
      <c r="A662" s="23" t="s">
        <v>1429</v>
      </c>
      <c r="B662" s="23">
        <v>1332</v>
      </c>
      <c r="C662" s="23">
        <v>1333</v>
      </c>
      <c r="D662" s="23" t="s">
        <v>664</v>
      </c>
      <c r="E662" s="24">
        <v>37.58</v>
      </c>
      <c r="F662" s="25">
        <v>30</v>
      </c>
      <c r="G662" s="24">
        <f t="shared" si="20"/>
        <v>1.2526666666666666</v>
      </c>
      <c r="H662" s="23" t="s">
        <v>759</v>
      </c>
      <c r="I662" s="23" t="s">
        <v>760</v>
      </c>
      <c r="J662" s="23" t="str">
        <f t="shared" si="21"/>
        <v>OK</v>
      </c>
      <c r="K662" s="23"/>
    </row>
    <row r="663" spans="1:11" x14ac:dyDescent="0.25">
      <c r="A663" s="23" t="s">
        <v>1430</v>
      </c>
      <c r="B663" s="23">
        <v>1334</v>
      </c>
      <c r="C663" s="23">
        <v>1335</v>
      </c>
      <c r="D663" s="23" t="s">
        <v>665</v>
      </c>
      <c r="E663" s="24">
        <v>4942.62</v>
      </c>
      <c r="F663" s="25">
        <v>720</v>
      </c>
      <c r="G663" s="24">
        <f t="shared" si="20"/>
        <v>6.8647499999999999</v>
      </c>
      <c r="H663" s="23" t="s">
        <v>759</v>
      </c>
      <c r="I663" s="23" t="s">
        <v>760</v>
      </c>
      <c r="J663" s="23" t="str">
        <f t="shared" si="21"/>
        <v>OK</v>
      </c>
      <c r="K663" s="23"/>
    </row>
    <row r="664" spans="1:11" x14ac:dyDescent="0.25">
      <c r="A664" s="23" t="s">
        <v>1431</v>
      </c>
      <c r="B664" s="23">
        <v>1336</v>
      </c>
      <c r="C664" s="23">
        <v>1337</v>
      </c>
      <c r="D664" s="23" t="s">
        <v>666</v>
      </c>
      <c r="E664" s="24">
        <v>168.41</v>
      </c>
      <c r="F664" s="25">
        <v>90</v>
      </c>
      <c r="G664" s="24">
        <f t="shared" si="20"/>
        <v>1.8712222222222221</v>
      </c>
      <c r="H664" s="23" t="s">
        <v>759</v>
      </c>
      <c r="I664" s="23" t="s">
        <v>760</v>
      </c>
      <c r="J664" s="23" t="str">
        <f t="shared" si="21"/>
        <v>OK</v>
      </c>
      <c r="K664" s="23"/>
    </row>
    <row r="665" spans="1:11" x14ac:dyDescent="0.25">
      <c r="A665" s="23" t="s">
        <v>1432</v>
      </c>
      <c r="B665" s="23">
        <v>1338</v>
      </c>
      <c r="C665" s="23">
        <v>1339</v>
      </c>
      <c r="D665" s="23" t="s">
        <v>667</v>
      </c>
      <c r="E665" s="24">
        <v>17.87</v>
      </c>
      <c r="F665" s="25">
        <v>2</v>
      </c>
      <c r="G665" s="24">
        <f t="shared" si="20"/>
        <v>8.9350000000000005</v>
      </c>
      <c r="H665" s="23" t="s">
        <v>759</v>
      </c>
      <c r="I665" s="23" t="s">
        <v>760</v>
      </c>
      <c r="J665" s="23" t="str">
        <f t="shared" si="21"/>
        <v>OK</v>
      </c>
      <c r="K665" s="23"/>
    </row>
    <row r="666" spans="1:11" x14ac:dyDescent="0.25">
      <c r="A666" s="23" t="s">
        <v>1433</v>
      </c>
      <c r="B666" s="23">
        <v>1340</v>
      </c>
      <c r="C666" s="23">
        <v>1341</v>
      </c>
      <c r="D666" s="23" t="s">
        <v>668</v>
      </c>
      <c r="E666" s="24">
        <v>650</v>
      </c>
      <c r="F666" s="25">
        <v>13</v>
      </c>
      <c r="G666" s="24">
        <f t="shared" si="20"/>
        <v>50</v>
      </c>
      <c r="H666" s="23" t="s">
        <v>759</v>
      </c>
      <c r="I666" s="23" t="s">
        <v>760</v>
      </c>
      <c r="J666" s="23" t="str">
        <f t="shared" si="21"/>
        <v>OK</v>
      </c>
      <c r="K666" s="23"/>
    </row>
    <row r="667" spans="1:11" x14ac:dyDescent="0.25">
      <c r="A667" s="23" t="s">
        <v>1434</v>
      </c>
      <c r="B667" s="23">
        <v>1342</v>
      </c>
      <c r="C667" s="23">
        <v>1343</v>
      </c>
      <c r="D667" s="23" t="s">
        <v>669</v>
      </c>
      <c r="E667" s="24">
        <v>536.55999999999995</v>
      </c>
      <c r="F667" s="25">
        <v>100</v>
      </c>
      <c r="G667" s="24">
        <f t="shared" si="20"/>
        <v>5.3655999999999997</v>
      </c>
      <c r="H667" s="23" t="s">
        <v>759</v>
      </c>
      <c r="I667" s="23" t="s">
        <v>760</v>
      </c>
      <c r="J667" s="23" t="str">
        <f t="shared" si="21"/>
        <v>OK</v>
      </c>
      <c r="K667" s="23"/>
    </row>
    <row r="668" spans="1:11" x14ac:dyDescent="0.25">
      <c r="A668" s="23" t="s">
        <v>1435</v>
      </c>
      <c r="B668" s="23">
        <v>1344</v>
      </c>
      <c r="C668" s="23">
        <v>1345</v>
      </c>
      <c r="D668" s="23" t="s">
        <v>670</v>
      </c>
      <c r="E668" s="24">
        <v>1341.4</v>
      </c>
      <c r="F668" s="25">
        <v>250</v>
      </c>
      <c r="G668" s="24">
        <f t="shared" si="20"/>
        <v>5.3656000000000006</v>
      </c>
      <c r="H668" s="23" t="s">
        <v>759</v>
      </c>
      <c r="I668" s="23" t="s">
        <v>760</v>
      </c>
      <c r="J668" s="23" t="str">
        <f t="shared" si="21"/>
        <v>OK</v>
      </c>
      <c r="K668" s="23"/>
    </row>
    <row r="669" spans="1:11" x14ac:dyDescent="0.25">
      <c r="A669" s="23" t="s">
        <v>1436</v>
      </c>
      <c r="B669" s="23">
        <v>1346</v>
      </c>
      <c r="C669" s="23">
        <v>1347</v>
      </c>
      <c r="D669" s="23" t="s">
        <v>671</v>
      </c>
      <c r="E669" s="24">
        <v>47.97</v>
      </c>
      <c r="F669" s="25">
        <v>2</v>
      </c>
      <c r="G669" s="24">
        <f t="shared" si="20"/>
        <v>23.984999999999999</v>
      </c>
      <c r="H669" s="23" t="s">
        <v>759</v>
      </c>
      <c r="I669" s="23" t="s">
        <v>760</v>
      </c>
      <c r="J669" s="23" t="str">
        <f t="shared" si="21"/>
        <v>OK</v>
      </c>
      <c r="K669" s="23"/>
    </row>
    <row r="670" spans="1:11" x14ac:dyDescent="0.25">
      <c r="A670" s="23" t="s">
        <v>1437</v>
      </c>
      <c r="B670" s="23">
        <v>1348</v>
      </c>
      <c r="C670" s="23">
        <v>1349</v>
      </c>
      <c r="D670" s="23" t="s">
        <v>672</v>
      </c>
      <c r="E670" s="24">
        <v>1034.78</v>
      </c>
      <c r="F670" s="25">
        <v>57</v>
      </c>
      <c r="G670" s="24">
        <f t="shared" si="20"/>
        <v>18.154035087719297</v>
      </c>
      <c r="H670" s="23" t="s">
        <v>759</v>
      </c>
      <c r="I670" s="23" t="s">
        <v>760</v>
      </c>
      <c r="J670" s="23" t="str">
        <f t="shared" si="21"/>
        <v>OK</v>
      </c>
      <c r="K670" s="23"/>
    </row>
    <row r="671" spans="1:11" x14ac:dyDescent="0.25">
      <c r="A671" s="23" t="s">
        <v>1438</v>
      </c>
      <c r="B671" s="23">
        <v>1350</v>
      </c>
      <c r="C671" s="23">
        <v>1351</v>
      </c>
      <c r="D671" s="23" t="s">
        <v>673</v>
      </c>
      <c r="E671" s="24">
        <v>1823.56</v>
      </c>
      <c r="F671" s="25">
        <v>550</v>
      </c>
      <c r="G671" s="24">
        <f t="shared" si="20"/>
        <v>3.315563636363636</v>
      </c>
      <c r="H671" s="23" t="s">
        <v>759</v>
      </c>
      <c r="I671" s="23" t="s">
        <v>760</v>
      </c>
      <c r="J671" s="23" t="str">
        <f t="shared" si="21"/>
        <v>OK</v>
      </c>
      <c r="K671" s="23"/>
    </row>
    <row r="672" spans="1:11" x14ac:dyDescent="0.25">
      <c r="A672" s="23" t="s">
        <v>1439</v>
      </c>
      <c r="B672" s="23">
        <v>1352</v>
      </c>
      <c r="C672" s="23">
        <v>1353</v>
      </c>
      <c r="D672" s="23" t="s">
        <v>674</v>
      </c>
      <c r="E672" s="24">
        <v>258100</v>
      </c>
      <c r="F672" s="25">
        <v>26</v>
      </c>
      <c r="G672" s="24">
        <f t="shared" si="20"/>
        <v>9926.9230769230762</v>
      </c>
      <c r="H672" s="23" t="s">
        <v>759</v>
      </c>
      <c r="I672" s="23" t="s">
        <v>760</v>
      </c>
      <c r="J672" s="23" t="str">
        <f t="shared" si="21"/>
        <v>OK</v>
      </c>
      <c r="K672" s="23"/>
    </row>
    <row r="673" spans="1:11" x14ac:dyDescent="0.25">
      <c r="A673" s="23" t="s">
        <v>1440</v>
      </c>
      <c r="B673" s="23">
        <v>1354</v>
      </c>
      <c r="C673" s="23">
        <v>1355</v>
      </c>
      <c r="D673" s="23" t="s">
        <v>675</v>
      </c>
      <c r="E673" s="24">
        <v>23100</v>
      </c>
      <c r="F673" s="25">
        <v>7</v>
      </c>
      <c r="G673" s="24">
        <f t="shared" si="20"/>
        <v>3300</v>
      </c>
      <c r="H673" s="23" t="s">
        <v>759</v>
      </c>
      <c r="I673" s="23" t="s">
        <v>760</v>
      </c>
      <c r="J673" s="23" t="str">
        <f t="shared" si="21"/>
        <v>OK</v>
      </c>
      <c r="K673" s="23"/>
    </row>
    <row r="674" spans="1:11" ht="26.4" x14ac:dyDescent="0.25">
      <c r="A674" s="23" t="s">
        <v>1441</v>
      </c>
      <c r="B674" s="23">
        <v>1356</v>
      </c>
      <c r="C674" s="23">
        <v>1357</v>
      </c>
      <c r="D674" s="23" t="s">
        <v>676</v>
      </c>
      <c r="E674" s="24">
        <v>1900</v>
      </c>
      <c r="F674" s="25">
        <v>10</v>
      </c>
      <c r="G674" s="24">
        <f t="shared" si="20"/>
        <v>190</v>
      </c>
      <c r="H674" s="23" t="s">
        <v>759</v>
      </c>
      <c r="I674" s="23" t="s">
        <v>760</v>
      </c>
      <c r="J674" s="23" t="str">
        <f t="shared" si="21"/>
        <v>OK</v>
      </c>
      <c r="K674" s="23"/>
    </row>
    <row r="675" spans="1:11" x14ac:dyDescent="0.25">
      <c r="A675" s="23" t="s">
        <v>1442</v>
      </c>
      <c r="B675" s="23">
        <v>1358</v>
      </c>
      <c r="C675" s="23">
        <v>1359</v>
      </c>
      <c r="D675" s="23" t="s">
        <v>677</v>
      </c>
      <c r="E675" s="24">
        <v>202.89</v>
      </c>
      <c r="F675" s="25">
        <v>13</v>
      </c>
      <c r="G675" s="24">
        <f t="shared" si="20"/>
        <v>15.606923076923076</v>
      </c>
      <c r="H675" s="23" t="s">
        <v>759</v>
      </c>
      <c r="I675" s="23" t="s">
        <v>760</v>
      </c>
      <c r="J675" s="23" t="str">
        <f t="shared" si="21"/>
        <v>OK</v>
      </c>
      <c r="K675" s="23"/>
    </row>
    <row r="676" spans="1:11" x14ac:dyDescent="0.25">
      <c r="A676" s="23" t="s">
        <v>1443</v>
      </c>
      <c r="B676" s="23">
        <v>1360</v>
      </c>
      <c r="C676" s="23">
        <v>1361</v>
      </c>
      <c r="D676" s="23" t="s">
        <v>678</v>
      </c>
      <c r="E676" s="24">
        <v>2866</v>
      </c>
      <c r="F676" s="25">
        <v>500</v>
      </c>
      <c r="G676" s="24">
        <f t="shared" si="20"/>
        <v>5.7320000000000002</v>
      </c>
      <c r="H676" s="23" t="s">
        <v>759</v>
      </c>
      <c r="I676" s="23" t="s">
        <v>760</v>
      </c>
      <c r="J676" s="23" t="str">
        <f t="shared" si="21"/>
        <v>OK</v>
      </c>
      <c r="K676" s="23"/>
    </row>
    <row r="677" spans="1:11" x14ac:dyDescent="0.25">
      <c r="A677" s="23" t="s">
        <v>1444</v>
      </c>
      <c r="B677" s="23">
        <v>1362</v>
      </c>
      <c r="C677" s="23">
        <v>1363</v>
      </c>
      <c r="D677" s="23" t="s">
        <v>1445</v>
      </c>
      <c r="E677" s="24">
        <v>276.64</v>
      </c>
      <c r="F677" s="25">
        <v>200</v>
      </c>
      <c r="G677" s="24">
        <f t="shared" si="20"/>
        <v>1.3832</v>
      </c>
      <c r="H677" s="23" t="s">
        <v>759</v>
      </c>
      <c r="I677" s="23" t="s">
        <v>760</v>
      </c>
      <c r="J677" s="23" t="str">
        <f t="shared" si="21"/>
        <v>OK</v>
      </c>
      <c r="K677" s="23"/>
    </row>
    <row r="678" spans="1:11" x14ac:dyDescent="0.25">
      <c r="A678" s="23" t="s">
        <v>1446</v>
      </c>
      <c r="B678" s="23">
        <v>1364</v>
      </c>
      <c r="C678" s="23">
        <v>1365</v>
      </c>
      <c r="D678" s="23" t="s">
        <v>1447</v>
      </c>
      <c r="E678" s="24">
        <v>213.52</v>
      </c>
      <c r="F678" s="25">
        <v>100</v>
      </c>
      <c r="G678" s="24">
        <f t="shared" si="20"/>
        <v>2.1352000000000002</v>
      </c>
      <c r="H678" s="23" t="s">
        <v>759</v>
      </c>
      <c r="I678" s="23" t="s">
        <v>760</v>
      </c>
      <c r="J678" s="23" t="str">
        <f t="shared" si="21"/>
        <v>OK</v>
      </c>
      <c r="K678" s="23"/>
    </row>
    <row r="679" spans="1:11" x14ac:dyDescent="0.25">
      <c r="A679" s="23" t="s">
        <v>1448</v>
      </c>
      <c r="B679" s="23">
        <v>1366</v>
      </c>
      <c r="C679" s="23">
        <v>1367</v>
      </c>
      <c r="D679" s="23" t="s">
        <v>681</v>
      </c>
      <c r="E679" s="24">
        <v>349.92</v>
      </c>
      <c r="F679" s="25">
        <v>36</v>
      </c>
      <c r="G679" s="24">
        <f t="shared" si="20"/>
        <v>9.7200000000000006</v>
      </c>
      <c r="H679" s="23" t="s">
        <v>759</v>
      </c>
      <c r="I679" s="23" t="s">
        <v>760</v>
      </c>
      <c r="J679" s="23" t="str">
        <f t="shared" si="21"/>
        <v>OK</v>
      </c>
      <c r="K679" s="23"/>
    </row>
    <row r="680" spans="1:11" x14ac:dyDescent="0.25">
      <c r="A680" s="23" t="s">
        <v>1449</v>
      </c>
      <c r="B680" s="23">
        <v>1368</v>
      </c>
      <c r="C680" s="23">
        <v>1369</v>
      </c>
      <c r="D680" s="23" t="s">
        <v>682</v>
      </c>
      <c r="E680" s="24">
        <v>3060</v>
      </c>
      <c r="F680" s="25">
        <v>50</v>
      </c>
      <c r="G680" s="24">
        <f t="shared" si="20"/>
        <v>61.2</v>
      </c>
      <c r="H680" s="23" t="s">
        <v>759</v>
      </c>
      <c r="I680" s="23" t="s">
        <v>760</v>
      </c>
      <c r="J680" s="23" t="str">
        <f t="shared" si="21"/>
        <v>OK</v>
      </c>
      <c r="K680" s="23"/>
    </row>
    <row r="681" spans="1:11" x14ac:dyDescent="0.25">
      <c r="A681" s="23" t="s">
        <v>1450</v>
      </c>
      <c r="B681" s="23">
        <v>1370</v>
      </c>
      <c r="C681" s="23">
        <v>1371</v>
      </c>
      <c r="D681" s="23" t="s">
        <v>683</v>
      </c>
      <c r="E681" s="24">
        <v>2637.36</v>
      </c>
      <c r="F681" s="25">
        <v>120</v>
      </c>
      <c r="G681" s="24">
        <f t="shared" si="20"/>
        <v>21.978000000000002</v>
      </c>
      <c r="H681" s="23" t="s">
        <v>759</v>
      </c>
      <c r="I681" s="23" t="s">
        <v>760</v>
      </c>
      <c r="J681" s="23" t="str">
        <f t="shared" si="21"/>
        <v>OK</v>
      </c>
      <c r="K681" s="23"/>
    </row>
    <row r="682" spans="1:11" x14ac:dyDescent="0.25">
      <c r="A682" s="23" t="s">
        <v>1451</v>
      </c>
      <c r="B682" s="23">
        <v>1372</v>
      </c>
      <c r="C682" s="23">
        <v>1373</v>
      </c>
      <c r="D682" s="23" t="s">
        <v>684</v>
      </c>
      <c r="E682" s="24">
        <v>6987.5</v>
      </c>
      <c r="F682" s="25">
        <v>100</v>
      </c>
      <c r="G682" s="24">
        <f t="shared" si="20"/>
        <v>69.875</v>
      </c>
      <c r="H682" s="23" t="s">
        <v>759</v>
      </c>
      <c r="I682" s="23" t="s">
        <v>760</v>
      </c>
      <c r="J682" s="23" t="str">
        <f t="shared" si="21"/>
        <v>OK</v>
      </c>
      <c r="K682" s="23"/>
    </row>
    <row r="683" spans="1:11" x14ac:dyDescent="0.25">
      <c r="A683" s="23" t="s">
        <v>1452</v>
      </c>
      <c r="B683" s="23">
        <v>1374</v>
      </c>
      <c r="C683" s="23">
        <v>1375</v>
      </c>
      <c r="D683" s="23" t="s">
        <v>685</v>
      </c>
      <c r="E683" s="24">
        <v>1212.55</v>
      </c>
      <c r="F683" s="25">
        <v>320</v>
      </c>
      <c r="G683" s="24">
        <f t="shared" si="20"/>
        <v>3.7892187499999999</v>
      </c>
      <c r="H683" s="23" t="s">
        <v>759</v>
      </c>
      <c r="I683" s="23" t="s">
        <v>760</v>
      </c>
      <c r="J683" s="23" t="str">
        <f t="shared" si="21"/>
        <v>OK</v>
      </c>
      <c r="K683" s="23"/>
    </row>
    <row r="684" spans="1:11" x14ac:dyDescent="0.25">
      <c r="A684" s="23" t="s">
        <v>1453</v>
      </c>
      <c r="B684" s="23">
        <v>1376</v>
      </c>
      <c r="C684" s="23">
        <v>1377</v>
      </c>
      <c r="D684" s="23" t="s">
        <v>686</v>
      </c>
      <c r="E684" s="24">
        <v>4175.71</v>
      </c>
      <c r="F684" s="25">
        <v>120</v>
      </c>
      <c r="G684" s="24">
        <f t="shared" si="20"/>
        <v>34.797583333333336</v>
      </c>
      <c r="H684" s="23" t="s">
        <v>759</v>
      </c>
      <c r="I684" s="23" t="s">
        <v>760</v>
      </c>
      <c r="J684" s="23" t="str">
        <f t="shared" si="21"/>
        <v>OK</v>
      </c>
      <c r="K684" s="23"/>
    </row>
    <row r="685" spans="1:11" x14ac:dyDescent="0.25">
      <c r="A685" s="23" t="s">
        <v>1454</v>
      </c>
      <c r="B685" s="23">
        <v>1378</v>
      </c>
      <c r="C685" s="23">
        <v>1379</v>
      </c>
      <c r="D685" s="23" t="s">
        <v>687</v>
      </c>
      <c r="E685" s="24">
        <v>382.85</v>
      </c>
      <c r="F685" s="25">
        <v>5</v>
      </c>
      <c r="G685" s="24">
        <f t="shared" si="20"/>
        <v>76.570000000000007</v>
      </c>
      <c r="H685" s="23" t="s">
        <v>759</v>
      </c>
      <c r="I685" s="23" t="s">
        <v>760</v>
      </c>
      <c r="J685" s="23" t="str">
        <f t="shared" si="21"/>
        <v>OK</v>
      </c>
      <c r="K685" s="23"/>
    </row>
    <row r="686" spans="1:11" x14ac:dyDescent="0.25">
      <c r="A686" s="23" t="s">
        <v>1455</v>
      </c>
      <c r="B686" s="23">
        <v>1380</v>
      </c>
      <c r="C686" s="23">
        <v>1381</v>
      </c>
      <c r="D686" s="23" t="s">
        <v>688</v>
      </c>
      <c r="E686" s="24">
        <v>12.45</v>
      </c>
      <c r="F686" s="25">
        <v>1</v>
      </c>
      <c r="G686" s="24">
        <f t="shared" si="20"/>
        <v>12.45</v>
      </c>
      <c r="H686" s="23" t="s">
        <v>759</v>
      </c>
      <c r="I686" s="23" t="s">
        <v>760</v>
      </c>
      <c r="J686" s="23" t="str">
        <f t="shared" si="21"/>
        <v>OK</v>
      </c>
      <c r="K686" s="23"/>
    </row>
    <row r="687" spans="1:11" x14ac:dyDescent="0.25">
      <c r="A687" s="23" t="s">
        <v>1456</v>
      </c>
      <c r="B687" s="23">
        <v>1382</v>
      </c>
      <c r="C687" s="23">
        <v>1383</v>
      </c>
      <c r="D687" s="23" t="s">
        <v>689</v>
      </c>
      <c r="E687" s="24">
        <v>19753.64</v>
      </c>
      <c r="F687" s="25">
        <v>60</v>
      </c>
      <c r="G687" s="24">
        <f t="shared" si="20"/>
        <v>329.22733333333332</v>
      </c>
      <c r="H687" s="23" t="s">
        <v>759</v>
      </c>
      <c r="I687" s="23" t="s">
        <v>760</v>
      </c>
      <c r="J687" s="23" t="str">
        <f t="shared" si="21"/>
        <v>OK</v>
      </c>
      <c r="K687" s="23"/>
    </row>
    <row r="688" spans="1:11" x14ac:dyDescent="0.25">
      <c r="A688" s="23" t="s">
        <v>1457</v>
      </c>
      <c r="B688" s="23">
        <v>1384</v>
      </c>
      <c r="C688" s="23">
        <v>1385</v>
      </c>
      <c r="D688" s="23" t="s">
        <v>690</v>
      </c>
      <c r="E688" s="24">
        <v>2401.16</v>
      </c>
      <c r="F688" s="25">
        <v>4140</v>
      </c>
      <c r="G688" s="24">
        <f t="shared" si="20"/>
        <v>0.57999033816425116</v>
      </c>
      <c r="H688" s="23" t="s">
        <v>759</v>
      </c>
      <c r="I688" s="23" t="s">
        <v>760</v>
      </c>
      <c r="J688" s="23" t="str">
        <f t="shared" si="21"/>
        <v>OK</v>
      </c>
      <c r="K688" s="23"/>
    </row>
    <row r="689" spans="1:11" x14ac:dyDescent="0.25">
      <c r="A689" s="23" t="s">
        <v>1458</v>
      </c>
      <c r="B689" s="23">
        <v>1386</v>
      </c>
      <c r="C689" s="23">
        <v>1387</v>
      </c>
      <c r="D689" s="23" t="s">
        <v>691</v>
      </c>
      <c r="E689" s="24">
        <v>486.43</v>
      </c>
      <c r="F689" s="25">
        <v>1250</v>
      </c>
      <c r="G689" s="24">
        <f t="shared" si="20"/>
        <v>0.38914399999999999</v>
      </c>
      <c r="H689" s="23" t="s">
        <v>759</v>
      </c>
      <c r="I689" s="23" t="s">
        <v>760</v>
      </c>
      <c r="J689" s="23" t="str">
        <f t="shared" si="21"/>
        <v>OK</v>
      </c>
      <c r="K689" s="23"/>
    </row>
    <row r="690" spans="1:11" x14ac:dyDescent="0.25">
      <c r="A690" s="23" t="s">
        <v>1459</v>
      </c>
      <c r="B690" s="23">
        <v>1388</v>
      </c>
      <c r="C690" s="23">
        <v>1389</v>
      </c>
      <c r="D690" s="23" t="s">
        <v>692</v>
      </c>
      <c r="E690" s="24">
        <v>72.900000000000006</v>
      </c>
      <c r="F690" s="25">
        <v>150</v>
      </c>
      <c r="G690" s="24">
        <f t="shared" si="20"/>
        <v>0.48600000000000004</v>
      </c>
      <c r="H690" s="23" t="s">
        <v>759</v>
      </c>
      <c r="I690" s="23" t="s">
        <v>760</v>
      </c>
      <c r="J690" s="23" t="str">
        <f t="shared" si="21"/>
        <v>OK</v>
      </c>
      <c r="K690" s="23"/>
    </row>
    <row r="691" spans="1:11" x14ac:dyDescent="0.25">
      <c r="A691" s="23" t="s">
        <v>1460</v>
      </c>
      <c r="B691" s="23">
        <v>1390</v>
      </c>
      <c r="C691" s="23">
        <v>1391</v>
      </c>
      <c r="D691" s="23" t="s">
        <v>693</v>
      </c>
      <c r="E691" s="24">
        <v>132.30000000000001</v>
      </c>
      <c r="F691" s="25">
        <v>10</v>
      </c>
      <c r="G691" s="24">
        <f t="shared" si="20"/>
        <v>13.23</v>
      </c>
      <c r="H691" s="23" t="s">
        <v>759</v>
      </c>
      <c r="I691" s="23" t="s">
        <v>760</v>
      </c>
      <c r="J691" s="23" t="str">
        <f t="shared" si="21"/>
        <v>OK</v>
      </c>
      <c r="K691" s="23"/>
    </row>
    <row r="692" spans="1:11" x14ac:dyDescent="0.25">
      <c r="A692" s="23" t="s">
        <v>1461</v>
      </c>
      <c r="B692" s="23">
        <v>1392</v>
      </c>
      <c r="C692" s="23">
        <v>1393</v>
      </c>
      <c r="D692" s="23" t="s">
        <v>694</v>
      </c>
      <c r="E692" s="24">
        <v>5546</v>
      </c>
      <c r="F692" s="25">
        <v>2920</v>
      </c>
      <c r="G692" s="24">
        <f t="shared" si="20"/>
        <v>1.8993150684931508</v>
      </c>
      <c r="H692" s="23" t="s">
        <v>759</v>
      </c>
      <c r="I692" s="23" t="s">
        <v>760</v>
      </c>
      <c r="J692" s="23" t="str">
        <f t="shared" si="21"/>
        <v>OK</v>
      </c>
      <c r="K692" s="23"/>
    </row>
    <row r="693" spans="1:11" x14ac:dyDescent="0.25">
      <c r="A693" s="23" t="s">
        <v>1462</v>
      </c>
      <c r="B693" s="23">
        <v>1394</v>
      </c>
      <c r="C693" s="23">
        <v>1395</v>
      </c>
      <c r="D693" s="23" t="s">
        <v>695</v>
      </c>
      <c r="E693" s="24">
        <v>60.03</v>
      </c>
      <c r="F693" s="25">
        <v>100</v>
      </c>
      <c r="G693" s="24">
        <f t="shared" si="20"/>
        <v>0.60030000000000006</v>
      </c>
      <c r="H693" s="23" t="s">
        <v>759</v>
      </c>
      <c r="I693" s="23" t="s">
        <v>760</v>
      </c>
      <c r="J693" s="23" t="str">
        <f t="shared" si="21"/>
        <v>OK</v>
      </c>
      <c r="K693" s="23"/>
    </row>
    <row r="694" spans="1:11" x14ac:dyDescent="0.25">
      <c r="A694" s="23" t="s">
        <v>1463</v>
      </c>
      <c r="B694" s="23">
        <v>1396</v>
      </c>
      <c r="C694" s="23">
        <v>1397</v>
      </c>
      <c r="D694" s="23" t="s">
        <v>696</v>
      </c>
      <c r="E694" s="24">
        <v>1660.71</v>
      </c>
      <c r="F694" s="25">
        <v>940</v>
      </c>
      <c r="G694" s="24">
        <f t="shared" si="20"/>
        <v>1.7667127659574469</v>
      </c>
      <c r="H694" s="23" t="s">
        <v>759</v>
      </c>
      <c r="I694" s="23" t="s">
        <v>760</v>
      </c>
      <c r="J694" s="23" t="str">
        <f t="shared" si="21"/>
        <v>OK</v>
      </c>
      <c r="K694" s="23"/>
    </row>
    <row r="695" spans="1:11" x14ac:dyDescent="0.25">
      <c r="A695" s="23" t="s">
        <v>1464</v>
      </c>
      <c r="B695" s="23">
        <v>1398</v>
      </c>
      <c r="C695" s="23">
        <v>1399</v>
      </c>
      <c r="D695" s="23" t="s">
        <v>697</v>
      </c>
      <c r="E695" s="24">
        <v>2286.5700000000002</v>
      </c>
      <c r="F695" s="25">
        <v>335</v>
      </c>
      <c r="G695" s="24">
        <f t="shared" si="20"/>
        <v>6.8255820895522392</v>
      </c>
      <c r="H695" s="23" t="s">
        <v>759</v>
      </c>
      <c r="I695" s="23" t="s">
        <v>760</v>
      </c>
      <c r="J695" s="23" t="str">
        <f t="shared" si="21"/>
        <v>OK</v>
      </c>
      <c r="K695" s="23"/>
    </row>
    <row r="696" spans="1:11" x14ac:dyDescent="0.25">
      <c r="A696" s="23" t="s">
        <v>1465</v>
      </c>
      <c r="B696" s="23">
        <v>1400</v>
      </c>
      <c r="C696" s="23">
        <v>1401</v>
      </c>
      <c r="D696" s="23" t="s">
        <v>698</v>
      </c>
      <c r="E696" s="24">
        <v>948.56</v>
      </c>
      <c r="F696" s="25">
        <v>20</v>
      </c>
      <c r="G696" s="24">
        <f t="shared" si="20"/>
        <v>47.427999999999997</v>
      </c>
      <c r="H696" s="23" t="s">
        <v>759</v>
      </c>
      <c r="I696" s="23" t="s">
        <v>760</v>
      </c>
      <c r="J696" s="23" t="str">
        <f t="shared" si="21"/>
        <v>OK</v>
      </c>
      <c r="K696" s="23"/>
    </row>
    <row r="697" spans="1:11" x14ac:dyDescent="0.25">
      <c r="A697" s="23" t="s">
        <v>1466</v>
      </c>
      <c r="B697" s="23">
        <v>1402</v>
      </c>
      <c r="C697" s="23">
        <v>1403</v>
      </c>
      <c r="D697" s="23" t="s">
        <v>699</v>
      </c>
      <c r="E697" s="24">
        <v>112.52</v>
      </c>
      <c r="F697" s="25">
        <v>120</v>
      </c>
      <c r="G697" s="24">
        <f t="shared" si="20"/>
        <v>0.93766666666666665</v>
      </c>
      <c r="H697" s="23" t="s">
        <v>759</v>
      </c>
      <c r="I697" s="23" t="s">
        <v>760</v>
      </c>
      <c r="J697" s="23" t="str">
        <f t="shared" si="21"/>
        <v>OK</v>
      </c>
      <c r="K697" s="23"/>
    </row>
    <row r="698" spans="1:11" x14ac:dyDescent="0.25">
      <c r="A698" s="23" t="s">
        <v>1467</v>
      </c>
      <c r="B698" s="23">
        <v>1404</v>
      </c>
      <c r="C698" s="23">
        <v>1405</v>
      </c>
      <c r="D698" s="23" t="s">
        <v>700</v>
      </c>
      <c r="E698" s="24">
        <v>6113.32</v>
      </c>
      <c r="F698" s="25">
        <v>384</v>
      </c>
      <c r="G698" s="24">
        <f t="shared" si="20"/>
        <v>15.920104166666667</v>
      </c>
      <c r="H698" s="23" t="s">
        <v>759</v>
      </c>
      <c r="I698" s="23" t="s">
        <v>760</v>
      </c>
      <c r="J698" s="23" t="str">
        <f t="shared" si="21"/>
        <v>OK</v>
      </c>
      <c r="K698" s="23"/>
    </row>
    <row r="699" spans="1:11" x14ac:dyDescent="0.25">
      <c r="A699" s="23" t="s">
        <v>1468</v>
      </c>
      <c r="B699" s="23">
        <v>1406</v>
      </c>
      <c r="C699" s="23">
        <v>1407</v>
      </c>
      <c r="D699" s="23" t="s">
        <v>701</v>
      </c>
      <c r="E699" s="24">
        <v>95.94</v>
      </c>
      <c r="F699" s="25">
        <v>150</v>
      </c>
      <c r="G699" s="24">
        <f t="shared" si="20"/>
        <v>0.63959999999999995</v>
      </c>
      <c r="H699" s="23" t="s">
        <v>759</v>
      </c>
      <c r="I699" s="23" t="s">
        <v>760</v>
      </c>
      <c r="J699" s="23" t="str">
        <f t="shared" si="21"/>
        <v>OK</v>
      </c>
      <c r="K699" s="23"/>
    </row>
    <row r="700" spans="1:11" x14ac:dyDescent="0.25">
      <c r="A700" s="23" t="s">
        <v>1469</v>
      </c>
      <c r="B700" s="23">
        <v>1408</v>
      </c>
      <c r="C700" s="23">
        <v>1409</v>
      </c>
      <c r="D700" s="23" t="s">
        <v>702</v>
      </c>
      <c r="E700" s="24">
        <v>264.60000000000002</v>
      </c>
      <c r="F700" s="25">
        <v>15</v>
      </c>
      <c r="G700" s="24">
        <f t="shared" si="20"/>
        <v>17.64</v>
      </c>
      <c r="H700" s="23" t="s">
        <v>759</v>
      </c>
      <c r="I700" s="23" t="s">
        <v>760</v>
      </c>
      <c r="J700" s="23" t="str">
        <f t="shared" si="21"/>
        <v>OK</v>
      </c>
      <c r="K700" s="23"/>
    </row>
    <row r="701" spans="1:11" x14ac:dyDescent="0.25">
      <c r="A701" s="23" t="s">
        <v>1470</v>
      </c>
      <c r="B701" s="23">
        <v>1410</v>
      </c>
      <c r="C701" s="23">
        <v>1411</v>
      </c>
      <c r="D701" s="23" t="s">
        <v>703</v>
      </c>
      <c r="E701" s="24">
        <v>99.72</v>
      </c>
      <c r="F701" s="25">
        <v>4</v>
      </c>
      <c r="G701" s="24">
        <f t="shared" si="20"/>
        <v>24.93</v>
      </c>
      <c r="H701" s="23" t="s">
        <v>759</v>
      </c>
      <c r="I701" s="23" t="s">
        <v>760</v>
      </c>
      <c r="J701" s="23" t="str">
        <f t="shared" si="21"/>
        <v>OK</v>
      </c>
      <c r="K701" s="23"/>
    </row>
    <row r="702" spans="1:11" x14ac:dyDescent="0.25">
      <c r="A702" s="23" t="s">
        <v>1471</v>
      </c>
      <c r="B702" s="23">
        <v>1412</v>
      </c>
      <c r="C702" s="23">
        <v>1413</v>
      </c>
      <c r="D702" s="23" t="s">
        <v>704</v>
      </c>
      <c r="E702" s="24">
        <v>1134</v>
      </c>
      <c r="F702" s="25">
        <v>100</v>
      </c>
      <c r="G702" s="24">
        <f t="shared" si="20"/>
        <v>11.34</v>
      </c>
      <c r="H702" s="23" t="s">
        <v>759</v>
      </c>
      <c r="I702" s="23" t="s">
        <v>760</v>
      </c>
      <c r="J702" s="23" t="str">
        <f t="shared" si="21"/>
        <v>OK</v>
      </c>
      <c r="K702" s="23"/>
    </row>
    <row r="703" spans="1:11" x14ac:dyDescent="0.25">
      <c r="A703" s="23" t="s">
        <v>1472</v>
      </c>
      <c r="B703" s="23">
        <v>1414</v>
      </c>
      <c r="C703" s="23">
        <v>1415</v>
      </c>
      <c r="D703" s="23" t="s">
        <v>705</v>
      </c>
      <c r="E703" s="24">
        <v>225.1</v>
      </c>
      <c r="F703" s="25">
        <v>14</v>
      </c>
      <c r="G703" s="24">
        <f t="shared" si="20"/>
        <v>16.078571428571429</v>
      </c>
      <c r="H703" s="23" t="s">
        <v>759</v>
      </c>
      <c r="I703" s="23" t="s">
        <v>760</v>
      </c>
      <c r="J703" s="23" t="str">
        <f t="shared" si="21"/>
        <v>OK</v>
      </c>
      <c r="K703" s="23"/>
    </row>
    <row r="704" spans="1:11" x14ac:dyDescent="0.25">
      <c r="A704" s="23" t="s">
        <v>1473</v>
      </c>
      <c r="B704" s="23">
        <v>1416</v>
      </c>
      <c r="C704" s="23">
        <v>1417</v>
      </c>
      <c r="D704" s="23" t="s">
        <v>706</v>
      </c>
      <c r="E704" s="24">
        <v>433.05</v>
      </c>
      <c r="F704" s="25">
        <v>72</v>
      </c>
      <c r="G704" s="24">
        <f t="shared" si="20"/>
        <v>6.0145833333333334</v>
      </c>
      <c r="H704" s="23" t="s">
        <v>759</v>
      </c>
      <c r="I704" s="23" t="s">
        <v>760</v>
      </c>
      <c r="J704" s="23" t="str">
        <f t="shared" si="21"/>
        <v>OK</v>
      </c>
      <c r="K704" s="23"/>
    </row>
    <row r="705" spans="1:11" x14ac:dyDescent="0.25">
      <c r="A705" s="23" t="s">
        <v>1474</v>
      </c>
      <c r="B705" s="23">
        <v>1418</v>
      </c>
      <c r="C705" s="23">
        <v>1419</v>
      </c>
      <c r="D705" s="23" t="s">
        <v>707</v>
      </c>
      <c r="E705" s="24">
        <v>280.26</v>
      </c>
      <c r="F705" s="25">
        <v>15</v>
      </c>
      <c r="G705" s="24">
        <f t="shared" si="20"/>
        <v>18.684000000000001</v>
      </c>
      <c r="H705" s="23" t="s">
        <v>759</v>
      </c>
      <c r="I705" s="23" t="s">
        <v>760</v>
      </c>
      <c r="J705" s="23" t="str">
        <f t="shared" si="21"/>
        <v>OK</v>
      </c>
      <c r="K705" s="23"/>
    </row>
    <row r="706" spans="1:11" x14ac:dyDescent="0.25">
      <c r="A706" s="23" t="s">
        <v>1475</v>
      </c>
      <c r="B706" s="23">
        <v>1420</v>
      </c>
      <c r="C706" s="23">
        <v>1421</v>
      </c>
      <c r="D706" s="23" t="s">
        <v>1476</v>
      </c>
      <c r="E706" s="24">
        <v>632.52</v>
      </c>
      <c r="F706" s="25">
        <v>15</v>
      </c>
      <c r="G706" s="24">
        <f t="shared" ref="G706:G769" si="22">IFERROR(E706/F706,"")</f>
        <v>42.167999999999999</v>
      </c>
      <c r="H706" s="23" t="s">
        <v>759</v>
      </c>
      <c r="I706" s="23" t="s">
        <v>760</v>
      </c>
      <c r="J706" s="23" t="str">
        <f t="shared" ref="J706:J741" si="23">IF(OR(E706="",F706=""),"LIPSESC DATE",IF(F706=0,"CANTITATE 0","OK"))</f>
        <v>OK</v>
      </c>
      <c r="K706" s="23"/>
    </row>
    <row r="707" spans="1:11" x14ac:dyDescent="0.25">
      <c r="A707" s="23" t="s">
        <v>1477</v>
      </c>
      <c r="B707" s="23">
        <v>1422</v>
      </c>
      <c r="C707" s="23">
        <v>1423</v>
      </c>
      <c r="D707" s="23" t="s">
        <v>709</v>
      </c>
      <c r="E707" s="24">
        <v>632.52</v>
      </c>
      <c r="F707" s="25">
        <v>15</v>
      </c>
      <c r="G707" s="24">
        <f t="shared" si="22"/>
        <v>42.167999999999999</v>
      </c>
      <c r="H707" s="23" t="s">
        <v>759</v>
      </c>
      <c r="I707" s="23" t="s">
        <v>760</v>
      </c>
      <c r="J707" s="23" t="str">
        <f t="shared" si="23"/>
        <v>OK</v>
      </c>
      <c r="K707" s="23"/>
    </row>
    <row r="708" spans="1:11" x14ac:dyDescent="0.25">
      <c r="A708" s="23" t="s">
        <v>1478</v>
      </c>
      <c r="B708" s="23">
        <v>1424</v>
      </c>
      <c r="C708" s="23">
        <v>1425</v>
      </c>
      <c r="D708" s="23" t="s">
        <v>710</v>
      </c>
      <c r="E708" s="24">
        <v>678.09</v>
      </c>
      <c r="F708" s="25">
        <v>180</v>
      </c>
      <c r="G708" s="24">
        <f t="shared" si="22"/>
        <v>3.7671666666666668</v>
      </c>
      <c r="H708" s="23" t="s">
        <v>759</v>
      </c>
      <c r="I708" s="23" t="s">
        <v>760</v>
      </c>
      <c r="J708" s="23" t="str">
        <f t="shared" si="23"/>
        <v>OK</v>
      </c>
      <c r="K708" s="23"/>
    </row>
    <row r="709" spans="1:11" x14ac:dyDescent="0.25">
      <c r="A709" s="23" t="s">
        <v>1479</v>
      </c>
      <c r="B709" s="23">
        <v>1426</v>
      </c>
      <c r="C709" s="23">
        <v>1427</v>
      </c>
      <c r="D709" s="23" t="s">
        <v>711</v>
      </c>
      <c r="E709" s="24">
        <v>317.83999999999997</v>
      </c>
      <c r="F709" s="25">
        <v>20</v>
      </c>
      <c r="G709" s="24">
        <f t="shared" si="22"/>
        <v>15.891999999999999</v>
      </c>
      <c r="H709" s="23" t="s">
        <v>759</v>
      </c>
      <c r="I709" s="23" t="s">
        <v>760</v>
      </c>
      <c r="J709" s="23" t="str">
        <f t="shared" si="23"/>
        <v>OK</v>
      </c>
      <c r="K709" s="23"/>
    </row>
    <row r="710" spans="1:11" x14ac:dyDescent="0.25">
      <c r="A710" s="23" t="s">
        <v>1480</v>
      </c>
      <c r="B710" s="23">
        <v>1428</v>
      </c>
      <c r="C710" s="23">
        <v>1429</v>
      </c>
      <c r="D710" s="23" t="s">
        <v>712</v>
      </c>
      <c r="E710" s="24">
        <v>73.959999999999994</v>
      </c>
      <c r="F710" s="25">
        <v>60</v>
      </c>
      <c r="G710" s="24">
        <f t="shared" si="22"/>
        <v>1.2326666666666666</v>
      </c>
      <c r="H710" s="23" t="s">
        <v>759</v>
      </c>
      <c r="I710" s="23" t="s">
        <v>760</v>
      </c>
      <c r="J710" s="23" t="str">
        <f t="shared" si="23"/>
        <v>OK</v>
      </c>
      <c r="K710" s="23"/>
    </row>
    <row r="711" spans="1:11" x14ac:dyDescent="0.25">
      <c r="A711" s="23" t="s">
        <v>1481</v>
      </c>
      <c r="B711" s="23">
        <v>1430</v>
      </c>
      <c r="C711" s="23">
        <v>1431</v>
      </c>
      <c r="D711" s="23" t="s">
        <v>713</v>
      </c>
      <c r="E711" s="24">
        <v>594</v>
      </c>
      <c r="F711" s="25">
        <v>450</v>
      </c>
      <c r="G711" s="24">
        <f t="shared" si="22"/>
        <v>1.32</v>
      </c>
      <c r="H711" s="23" t="s">
        <v>759</v>
      </c>
      <c r="I711" s="23" t="s">
        <v>760</v>
      </c>
      <c r="J711" s="23" t="str">
        <f t="shared" si="23"/>
        <v>OK</v>
      </c>
      <c r="K711" s="23"/>
    </row>
    <row r="712" spans="1:11" x14ac:dyDescent="0.25">
      <c r="A712" s="23" t="s">
        <v>1482</v>
      </c>
      <c r="B712" s="23">
        <v>1432</v>
      </c>
      <c r="C712" s="23">
        <v>1433</v>
      </c>
      <c r="D712" s="23" t="s">
        <v>714</v>
      </c>
      <c r="E712" s="24">
        <v>10964.79</v>
      </c>
      <c r="F712" s="25">
        <v>104</v>
      </c>
      <c r="G712" s="24">
        <f t="shared" si="22"/>
        <v>105.43067307692309</v>
      </c>
      <c r="H712" s="23" t="s">
        <v>759</v>
      </c>
      <c r="I712" s="23" t="s">
        <v>760</v>
      </c>
      <c r="J712" s="23" t="str">
        <f t="shared" si="23"/>
        <v>OK</v>
      </c>
      <c r="K712" s="23"/>
    </row>
    <row r="713" spans="1:11" x14ac:dyDescent="0.25">
      <c r="A713" s="23" t="s">
        <v>1483</v>
      </c>
      <c r="B713" s="23">
        <v>1434</v>
      </c>
      <c r="C713" s="23">
        <v>1435</v>
      </c>
      <c r="D713" s="23" t="s">
        <v>715</v>
      </c>
      <c r="E713" s="24">
        <v>3287.25</v>
      </c>
      <c r="F713" s="25">
        <v>30</v>
      </c>
      <c r="G713" s="24">
        <f t="shared" si="22"/>
        <v>109.575</v>
      </c>
      <c r="H713" s="23" t="s">
        <v>759</v>
      </c>
      <c r="I713" s="23" t="s">
        <v>760</v>
      </c>
      <c r="J713" s="23" t="str">
        <f t="shared" si="23"/>
        <v>OK</v>
      </c>
      <c r="K713" s="23"/>
    </row>
    <row r="714" spans="1:11" x14ac:dyDescent="0.25">
      <c r="A714" s="23" t="s">
        <v>1484</v>
      </c>
      <c r="B714" s="23">
        <v>1436</v>
      </c>
      <c r="C714" s="23">
        <v>1437</v>
      </c>
      <c r="D714" s="23" t="s">
        <v>716</v>
      </c>
      <c r="E714" s="24">
        <v>295.92</v>
      </c>
      <c r="F714" s="25">
        <v>20</v>
      </c>
      <c r="G714" s="24">
        <f t="shared" si="22"/>
        <v>14.796000000000001</v>
      </c>
      <c r="H714" s="23" t="s">
        <v>759</v>
      </c>
      <c r="I714" s="23" t="s">
        <v>760</v>
      </c>
      <c r="J714" s="23" t="str">
        <f t="shared" si="23"/>
        <v>OK</v>
      </c>
      <c r="K714" s="23"/>
    </row>
    <row r="715" spans="1:11" x14ac:dyDescent="0.25">
      <c r="A715" s="23" t="s">
        <v>1485</v>
      </c>
      <c r="B715" s="23">
        <v>1438</v>
      </c>
      <c r="C715" s="23">
        <v>1439</v>
      </c>
      <c r="D715" s="23" t="s">
        <v>717</v>
      </c>
      <c r="E715" s="24">
        <v>3654.72</v>
      </c>
      <c r="F715" s="25">
        <v>180</v>
      </c>
      <c r="G715" s="24">
        <f t="shared" si="22"/>
        <v>20.303999999999998</v>
      </c>
      <c r="H715" s="23" t="s">
        <v>759</v>
      </c>
      <c r="I715" s="23" t="s">
        <v>760</v>
      </c>
      <c r="J715" s="23" t="str">
        <f t="shared" si="23"/>
        <v>OK</v>
      </c>
      <c r="K715" s="23"/>
    </row>
    <row r="716" spans="1:11" x14ac:dyDescent="0.25">
      <c r="A716" s="23" t="s">
        <v>1486</v>
      </c>
      <c r="B716" s="23">
        <v>1440</v>
      </c>
      <c r="C716" s="23">
        <v>1441</v>
      </c>
      <c r="D716" s="23" t="s">
        <v>718</v>
      </c>
      <c r="E716" s="24">
        <v>7916.47</v>
      </c>
      <c r="F716" s="25">
        <v>484</v>
      </c>
      <c r="G716" s="24">
        <f t="shared" si="22"/>
        <v>16.356342975206612</v>
      </c>
      <c r="H716" s="23" t="s">
        <v>759</v>
      </c>
      <c r="I716" s="23" t="s">
        <v>760</v>
      </c>
      <c r="J716" s="23" t="str">
        <f t="shared" si="23"/>
        <v>OK</v>
      </c>
      <c r="K716" s="23"/>
    </row>
    <row r="717" spans="1:11" x14ac:dyDescent="0.25">
      <c r="A717" s="23" t="s">
        <v>1487</v>
      </c>
      <c r="B717" s="23">
        <v>1442</v>
      </c>
      <c r="C717" s="23">
        <v>1443</v>
      </c>
      <c r="D717" s="23" t="s">
        <v>719</v>
      </c>
      <c r="E717" s="24">
        <v>759.94</v>
      </c>
      <c r="F717" s="25">
        <v>240</v>
      </c>
      <c r="G717" s="24">
        <f t="shared" si="22"/>
        <v>3.1664166666666671</v>
      </c>
      <c r="H717" s="23" t="s">
        <v>759</v>
      </c>
      <c r="I717" s="23" t="s">
        <v>760</v>
      </c>
      <c r="J717" s="23" t="str">
        <f t="shared" si="23"/>
        <v>OK</v>
      </c>
      <c r="K717" s="23"/>
    </row>
    <row r="718" spans="1:11" x14ac:dyDescent="0.25">
      <c r="A718" s="23" t="s">
        <v>1488</v>
      </c>
      <c r="B718" s="23">
        <v>1444</v>
      </c>
      <c r="C718" s="23">
        <v>1445</v>
      </c>
      <c r="D718" s="23" t="s">
        <v>720</v>
      </c>
      <c r="E718" s="24">
        <v>32.94</v>
      </c>
      <c r="F718" s="25">
        <v>50</v>
      </c>
      <c r="G718" s="24">
        <f t="shared" si="22"/>
        <v>0.65879999999999994</v>
      </c>
      <c r="H718" s="23" t="s">
        <v>759</v>
      </c>
      <c r="I718" s="23" t="s">
        <v>760</v>
      </c>
      <c r="J718" s="23" t="str">
        <f t="shared" si="23"/>
        <v>OK</v>
      </c>
      <c r="K718" s="23"/>
    </row>
    <row r="719" spans="1:11" x14ac:dyDescent="0.25">
      <c r="A719" s="23" t="s">
        <v>1489</v>
      </c>
      <c r="B719" s="23">
        <v>1446</v>
      </c>
      <c r="C719" s="23">
        <v>1447</v>
      </c>
      <c r="D719" s="23" t="s">
        <v>721</v>
      </c>
      <c r="E719" s="24">
        <v>166.1</v>
      </c>
      <c r="F719" s="25">
        <v>250</v>
      </c>
      <c r="G719" s="24">
        <f t="shared" si="22"/>
        <v>0.66439999999999999</v>
      </c>
      <c r="H719" s="23" t="s">
        <v>759</v>
      </c>
      <c r="I719" s="23" t="s">
        <v>760</v>
      </c>
      <c r="J719" s="23" t="str">
        <f t="shared" si="23"/>
        <v>OK</v>
      </c>
      <c r="K719" s="23"/>
    </row>
    <row r="720" spans="1:11" x14ac:dyDescent="0.25">
      <c r="A720" s="23" t="s">
        <v>1490</v>
      </c>
      <c r="B720" s="23">
        <v>1448</v>
      </c>
      <c r="C720" s="23">
        <v>1449</v>
      </c>
      <c r="D720" s="23" t="s">
        <v>722</v>
      </c>
      <c r="E720" s="24">
        <v>299.7</v>
      </c>
      <c r="F720" s="25">
        <v>170</v>
      </c>
      <c r="G720" s="24">
        <f t="shared" si="22"/>
        <v>1.7629411764705882</v>
      </c>
      <c r="H720" s="23" t="s">
        <v>759</v>
      </c>
      <c r="I720" s="23" t="s">
        <v>760</v>
      </c>
      <c r="J720" s="23" t="str">
        <f t="shared" si="23"/>
        <v>OK</v>
      </c>
      <c r="K720" s="23"/>
    </row>
    <row r="721" spans="1:11" x14ac:dyDescent="0.25">
      <c r="A721" s="23" t="s">
        <v>1491</v>
      </c>
      <c r="B721" s="23">
        <v>1450</v>
      </c>
      <c r="C721" s="23">
        <v>1451</v>
      </c>
      <c r="D721" s="23" t="s">
        <v>723</v>
      </c>
      <c r="E721" s="24">
        <v>190.51</v>
      </c>
      <c r="F721" s="25">
        <v>10</v>
      </c>
      <c r="G721" s="24">
        <f t="shared" si="22"/>
        <v>19.050999999999998</v>
      </c>
      <c r="H721" s="23" t="s">
        <v>759</v>
      </c>
      <c r="I721" s="23" t="s">
        <v>760</v>
      </c>
      <c r="J721" s="23" t="str">
        <f t="shared" si="23"/>
        <v>OK</v>
      </c>
      <c r="K721" s="23"/>
    </row>
    <row r="722" spans="1:11" x14ac:dyDescent="0.25">
      <c r="A722" s="23" t="s">
        <v>1492</v>
      </c>
      <c r="B722" s="23">
        <v>1452</v>
      </c>
      <c r="C722" s="23">
        <v>1453</v>
      </c>
      <c r="D722" s="23" t="s">
        <v>724</v>
      </c>
      <c r="E722" s="24">
        <v>731.82</v>
      </c>
      <c r="F722" s="25">
        <v>280</v>
      </c>
      <c r="G722" s="24">
        <f t="shared" si="22"/>
        <v>2.6136428571428572</v>
      </c>
      <c r="H722" s="23" t="s">
        <v>759</v>
      </c>
      <c r="I722" s="23" t="s">
        <v>760</v>
      </c>
      <c r="J722" s="23" t="str">
        <f t="shared" si="23"/>
        <v>OK</v>
      </c>
      <c r="K722" s="23"/>
    </row>
    <row r="723" spans="1:11" x14ac:dyDescent="0.25">
      <c r="A723" s="23" t="s">
        <v>1493</v>
      </c>
      <c r="B723" s="23">
        <v>1454</v>
      </c>
      <c r="C723" s="23">
        <v>1455</v>
      </c>
      <c r="D723" s="23" t="s">
        <v>725</v>
      </c>
      <c r="E723" s="24">
        <v>291.60000000000002</v>
      </c>
      <c r="F723" s="25">
        <v>60</v>
      </c>
      <c r="G723" s="24">
        <f t="shared" si="22"/>
        <v>4.8600000000000003</v>
      </c>
      <c r="H723" s="23" t="s">
        <v>759</v>
      </c>
      <c r="I723" s="23" t="s">
        <v>760</v>
      </c>
      <c r="J723" s="23" t="str">
        <f t="shared" si="23"/>
        <v>OK</v>
      </c>
      <c r="K723" s="23"/>
    </row>
    <row r="724" spans="1:11" x14ac:dyDescent="0.25">
      <c r="A724" s="23" t="s">
        <v>1494</v>
      </c>
      <c r="B724" s="23">
        <v>1456</v>
      </c>
      <c r="C724" s="23">
        <v>1457</v>
      </c>
      <c r="D724" s="23" t="s">
        <v>726</v>
      </c>
      <c r="E724" s="24">
        <v>13227</v>
      </c>
      <c r="F724" s="25">
        <v>600</v>
      </c>
      <c r="G724" s="24">
        <f t="shared" si="22"/>
        <v>22.045000000000002</v>
      </c>
      <c r="H724" s="23" t="s">
        <v>759</v>
      </c>
      <c r="I724" s="23" t="s">
        <v>760</v>
      </c>
      <c r="J724" s="23" t="str">
        <f t="shared" si="23"/>
        <v>OK</v>
      </c>
      <c r="K724" s="23"/>
    </row>
    <row r="725" spans="1:11" x14ac:dyDescent="0.25">
      <c r="A725" s="23" t="s">
        <v>1495</v>
      </c>
      <c r="B725" s="23">
        <v>1458</v>
      </c>
      <c r="C725" s="23">
        <v>1459</v>
      </c>
      <c r="D725" s="23" t="s">
        <v>727</v>
      </c>
      <c r="E725" s="24">
        <v>5455.81</v>
      </c>
      <c r="F725" s="25">
        <v>3150</v>
      </c>
      <c r="G725" s="24">
        <f t="shared" si="22"/>
        <v>1.7320031746031748</v>
      </c>
      <c r="H725" s="23" t="s">
        <v>759</v>
      </c>
      <c r="I725" s="23" t="s">
        <v>760</v>
      </c>
      <c r="J725" s="23" t="str">
        <f t="shared" si="23"/>
        <v>OK</v>
      </c>
      <c r="K725" s="23"/>
    </row>
    <row r="726" spans="1:11" x14ac:dyDescent="0.25">
      <c r="A726" s="23" t="s">
        <v>1496</v>
      </c>
      <c r="B726" s="23">
        <v>1460</v>
      </c>
      <c r="C726" s="23">
        <v>1461</v>
      </c>
      <c r="D726" s="23" t="s">
        <v>728</v>
      </c>
      <c r="E726" s="24">
        <v>47269.599999999999</v>
      </c>
      <c r="F726" s="25">
        <v>4090</v>
      </c>
      <c r="G726" s="24">
        <f t="shared" si="22"/>
        <v>11.557359413202933</v>
      </c>
      <c r="H726" s="23" t="s">
        <v>759</v>
      </c>
      <c r="I726" s="23" t="s">
        <v>760</v>
      </c>
      <c r="J726" s="23" t="str">
        <f t="shared" si="23"/>
        <v>OK</v>
      </c>
      <c r="K726" s="23"/>
    </row>
    <row r="727" spans="1:11" x14ac:dyDescent="0.25">
      <c r="A727" s="23" t="s">
        <v>1497</v>
      </c>
      <c r="B727" s="23">
        <v>1462</v>
      </c>
      <c r="C727" s="23">
        <v>1463</v>
      </c>
      <c r="D727" s="23" t="s">
        <v>729</v>
      </c>
      <c r="E727" s="24">
        <v>154.69</v>
      </c>
      <c r="F727" s="25">
        <v>2</v>
      </c>
      <c r="G727" s="24">
        <f t="shared" si="22"/>
        <v>77.344999999999999</v>
      </c>
      <c r="H727" s="23" t="s">
        <v>759</v>
      </c>
      <c r="I727" s="23" t="s">
        <v>760</v>
      </c>
      <c r="J727" s="23" t="str">
        <f t="shared" si="23"/>
        <v>OK</v>
      </c>
      <c r="K727" s="23"/>
    </row>
    <row r="728" spans="1:11" x14ac:dyDescent="0.25">
      <c r="A728" s="23" t="s">
        <v>1498</v>
      </c>
      <c r="B728" s="23">
        <v>1464</v>
      </c>
      <c r="C728" s="23">
        <v>1465</v>
      </c>
      <c r="D728" s="23" t="s">
        <v>730</v>
      </c>
      <c r="E728" s="24">
        <v>46406.85</v>
      </c>
      <c r="F728" s="25">
        <v>90</v>
      </c>
      <c r="G728" s="24">
        <f t="shared" si="22"/>
        <v>515.63166666666666</v>
      </c>
      <c r="H728" s="23" t="s">
        <v>759</v>
      </c>
      <c r="I728" s="23" t="s">
        <v>760</v>
      </c>
      <c r="J728" s="23" t="str">
        <f t="shared" si="23"/>
        <v>OK</v>
      </c>
      <c r="K728" s="23"/>
    </row>
    <row r="729" spans="1:11" x14ac:dyDescent="0.25">
      <c r="A729" s="23" t="s">
        <v>1499</v>
      </c>
      <c r="B729" s="23">
        <v>1466</v>
      </c>
      <c r="C729" s="23">
        <v>1467</v>
      </c>
      <c r="D729" s="23" t="s">
        <v>731</v>
      </c>
      <c r="E729" s="24">
        <v>698.45</v>
      </c>
      <c r="F729" s="25">
        <v>290</v>
      </c>
      <c r="G729" s="24">
        <f t="shared" si="22"/>
        <v>2.4084482758620691</v>
      </c>
      <c r="H729" s="23" t="s">
        <v>759</v>
      </c>
      <c r="I729" s="23" t="s">
        <v>760</v>
      </c>
      <c r="J729" s="23" t="str">
        <f t="shared" si="23"/>
        <v>OK</v>
      </c>
      <c r="K729" s="23"/>
    </row>
    <row r="730" spans="1:11" x14ac:dyDescent="0.25">
      <c r="A730" s="23" t="s">
        <v>1500</v>
      </c>
      <c r="B730" s="23">
        <v>1468</v>
      </c>
      <c r="C730" s="23">
        <v>1469</v>
      </c>
      <c r="D730" s="23" t="s">
        <v>732</v>
      </c>
      <c r="E730" s="24">
        <v>7232.52</v>
      </c>
      <c r="F730" s="25">
        <v>4980</v>
      </c>
      <c r="G730" s="24">
        <f t="shared" si="22"/>
        <v>1.4523132530120484</v>
      </c>
      <c r="H730" s="23" t="s">
        <v>759</v>
      </c>
      <c r="I730" s="23" t="s">
        <v>760</v>
      </c>
      <c r="J730" s="23" t="str">
        <f t="shared" si="23"/>
        <v>OK</v>
      </c>
      <c r="K730" s="23"/>
    </row>
    <row r="731" spans="1:11" x14ac:dyDescent="0.25">
      <c r="A731" s="23" t="s">
        <v>1501</v>
      </c>
      <c r="B731" s="23">
        <v>1470</v>
      </c>
      <c r="C731" s="23">
        <v>1471</v>
      </c>
      <c r="D731" s="23" t="s">
        <v>733</v>
      </c>
      <c r="E731" s="24">
        <v>26.15</v>
      </c>
      <c r="F731" s="25">
        <v>1</v>
      </c>
      <c r="G731" s="24">
        <f t="shared" si="22"/>
        <v>26.15</v>
      </c>
      <c r="H731" s="23" t="s">
        <v>759</v>
      </c>
      <c r="I731" s="23" t="s">
        <v>760</v>
      </c>
      <c r="J731" s="23" t="str">
        <f t="shared" si="23"/>
        <v>OK</v>
      </c>
      <c r="K731" s="23"/>
    </row>
    <row r="732" spans="1:11" x14ac:dyDescent="0.25">
      <c r="A732" s="23" t="s">
        <v>1502</v>
      </c>
      <c r="B732" s="23">
        <v>1472</v>
      </c>
      <c r="C732" s="23">
        <v>1473</v>
      </c>
      <c r="D732" s="23" t="s">
        <v>734</v>
      </c>
      <c r="E732" s="24">
        <v>7410.46</v>
      </c>
      <c r="F732" s="25">
        <v>2650</v>
      </c>
      <c r="G732" s="24">
        <f t="shared" si="22"/>
        <v>2.7964000000000002</v>
      </c>
      <c r="H732" s="23" t="s">
        <v>759</v>
      </c>
      <c r="I732" s="23" t="s">
        <v>760</v>
      </c>
      <c r="J732" s="23" t="str">
        <f t="shared" si="23"/>
        <v>OK</v>
      </c>
      <c r="K732" s="23"/>
    </row>
    <row r="733" spans="1:11" x14ac:dyDescent="0.25">
      <c r="A733" s="23" t="s">
        <v>1503</v>
      </c>
      <c r="B733" s="23">
        <v>1474</v>
      </c>
      <c r="C733" s="23">
        <v>1475</v>
      </c>
      <c r="D733" s="23" t="s">
        <v>735</v>
      </c>
      <c r="E733" s="24">
        <v>200.82</v>
      </c>
      <c r="F733" s="25">
        <v>3</v>
      </c>
      <c r="G733" s="24">
        <f t="shared" si="22"/>
        <v>66.94</v>
      </c>
      <c r="H733" s="23" t="s">
        <v>759</v>
      </c>
      <c r="I733" s="23" t="s">
        <v>760</v>
      </c>
      <c r="J733" s="23" t="str">
        <f t="shared" si="23"/>
        <v>OK</v>
      </c>
      <c r="K733" s="23"/>
    </row>
    <row r="734" spans="1:11" x14ac:dyDescent="0.25">
      <c r="A734" s="23" t="s">
        <v>1504</v>
      </c>
      <c r="B734" s="23">
        <v>1476</v>
      </c>
      <c r="C734" s="23">
        <v>1477</v>
      </c>
      <c r="D734" s="23" t="s">
        <v>736</v>
      </c>
      <c r="E734" s="24">
        <v>72.36</v>
      </c>
      <c r="F734" s="25">
        <v>100</v>
      </c>
      <c r="G734" s="24">
        <f t="shared" si="22"/>
        <v>0.72360000000000002</v>
      </c>
      <c r="H734" s="23" t="s">
        <v>759</v>
      </c>
      <c r="I734" s="23" t="s">
        <v>760</v>
      </c>
      <c r="J734" s="23" t="str">
        <f t="shared" si="23"/>
        <v>OK</v>
      </c>
      <c r="K734" s="23"/>
    </row>
    <row r="735" spans="1:11" x14ac:dyDescent="0.25">
      <c r="A735" s="23" t="s">
        <v>1505</v>
      </c>
      <c r="B735" s="23">
        <v>1478</v>
      </c>
      <c r="C735" s="23">
        <v>1479</v>
      </c>
      <c r="D735" s="23" t="s">
        <v>737</v>
      </c>
      <c r="E735" s="24">
        <v>2688.37</v>
      </c>
      <c r="F735" s="25">
        <v>76</v>
      </c>
      <c r="G735" s="24">
        <f t="shared" si="22"/>
        <v>35.37328947368421</v>
      </c>
      <c r="H735" s="23" t="s">
        <v>759</v>
      </c>
      <c r="I735" s="23" t="s">
        <v>760</v>
      </c>
      <c r="J735" s="23" t="str">
        <f t="shared" si="23"/>
        <v>OK</v>
      </c>
      <c r="K735" s="23"/>
    </row>
    <row r="736" spans="1:11" x14ac:dyDescent="0.25">
      <c r="A736" s="23" t="s">
        <v>1506</v>
      </c>
      <c r="B736" s="23">
        <v>1480</v>
      </c>
      <c r="C736" s="23">
        <v>1481</v>
      </c>
      <c r="D736" s="23" t="s">
        <v>738</v>
      </c>
      <c r="E736" s="24">
        <v>156.08000000000001</v>
      </c>
      <c r="F736" s="25">
        <v>40</v>
      </c>
      <c r="G736" s="24">
        <f t="shared" si="22"/>
        <v>3.9020000000000001</v>
      </c>
      <c r="H736" s="23" t="s">
        <v>759</v>
      </c>
      <c r="I736" s="23" t="s">
        <v>760</v>
      </c>
      <c r="J736" s="23" t="str">
        <f t="shared" si="23"/>
        <v>OK</v>
      </c>
      <c r="K736" s="23"/>
    </row>
    <row r="737" spans="1:11" x14ac:dyDescent="0.25">
      <c r="A737" s="23" t="s">
        <v>1507</v>
      </c>
      <c r="B737" s="23">
        <v>1482</v>
      </c>
      <c r="C737" s="23">
        <v>1483</v>
      </c>
      <c r="D737" s="23" t="s">
        <v>739</v>
      </c>
      <c r="E737" s="24">
        <v>25.27</v>
      </c>
      <c r="F737" s="25">
        <v>60</v>
      </c>
      <c r="G737" s="24">
        <f t="shared" si="22"/>
        <v>0.42116666666666663</v>
      </c>
      <c r="H737" s="23" t="s">
        <v>759</v>
      </c>
      <c r="I737" s="23" t="s">
        <v>760</v>
      </c>
      <c r="J737" s="23" t="str">
        <f t="shared" si="23"/>
        <v>OK</v>
      </c>
      <c r="K737" s="23"/>
    </row>
    <row r="738" spans="1:11" ht="26.4" x14ac:dyDescent="0.25">
      <c r="A738" s="23" t="s">
        <v>1508</v>
      </c>
      <c r="B738" s="23">
        <v>1484</v>
      </c>
      <c r="C738" s="23">
        <v>1485</v>
      </c>
      <c r="D738" s="23" t="s">
        <v>740</v>
      </c>
      <c r="E738" s="24">
        <v>29022.42</v>
      </c>
      <c r="F738" s="25">
        <v>740</v>
      </c>
      <c r="G738" s="24">
        <f t="shared" si="22"/>
        <v>39.219486486486481</v>
      </c>
      <c r="H738" s="23" t="s">
        <v>759</v>
      </c>
      <c r="I738" s="23" t="s">
        <v>760</v>
      </c>
      <c r="J738" s="23" t="str">
        <f t="shared" si="23"/>
        <v>OK</v>
      </c>
      <c r="K738" s="23"/>
    </row>
    <row r="739" spans="1:11" ht="26.4" x14ac:dyDescent="0.25">
      <c r="A739" s="23" t="s">
        <v>1509</v>
      </c>
      <c r="B739" s="23">
        <v>1486</v>
      </c>
      <c r="C739" s="23">
        <v>1487</v>
      </c>
      <c r="D739" s="23" t="s">
        <v>741</v>
      </c>
      <c r="E739" s="24">
        <v>7845.15</v>
      </c>
      <c r="F739" s="25">
        <v>120</v>
      </c>
      <c r="G739" s="24">
        <f t="shared" si="22"/>
        <v>65.376249999999999</v>
      </c>
      <c r="H739" s="23" t="s">
        <v>759</v>
      </c>
      <c r="I739" s="23" t="s">
        <v>760</v>
      </c>
      <c r="J739" s="23" t="str">
        <f t="shared" si="23"/>
        <v>OK</v>
      </c>
      <c r="K739" s="23"/>
    </row>
    <row r="740" spans="1:11" x14ac:dyDescent="0.25">
      <c r="A740" s="23" t="s">
        <v>1510</v>
      </c>
      <c r="B740" s="23">
        <v>1488</v>
      </c>
      <c r="C740" s="23">
        <v>1489</v>
      </c>
      <c r="D740" s="23" t="s">
        <v>742</v>
      </c>
      <c r="E740" s="24">
        <v>321.04000000000002</v>
      </c>
      <c r="F740" s="25">
        <v>11</v>
      </c>
      <c r="G740" s="24">
        <f t="shared" si="22"/>
        <v>29.185454545454547</v>
      </c>
      <c r="H740" s="23" t="s">
        <v>759</v>
      </c>
      <c r="I740" s="23" t="s">
        <v>760</v>
      </c>
      <c r="J740" s="23" t="str">
        <f t="shared" si="23"/>
        <v>OK</v>
      </c>
      <c r="K740" s="23"/>
    </row>
    <row r="741" spans="1:11" x14ac:dyDescent="0.25">
      <c r="A741" s="23" t="s">
        <v>1511</v>
      </c>
      <c r="B741" s="23">
        <v>1490</v>
      </c>
      <c r="C741" s="23">
        <v>1491</v>
      </c>
      <c r="D741" s="23" t="s">
        <v>743</v>
      </c>
      <c r="E741" s="24">
        <v>448.5</v>
      </c>
      <c r="F741" s="25">
        <v>2</v>
      </c>
      <c r="G741" s="24">
        <f t="shared" si="22"/>
        <v>224.25</v>
      </c>
      <c r="H741" s="23" t="s">
        <v>759</v>
      </c>
      <c r="I741" s="23" t="s">
        <v>760</v>
      </c>
      <c r="J741" s="23" t="str">
        <f t="shared" si="23"/>
        <v>OK</v>
      </c>
      <c r="K741" s="2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3.2" x14ac:dyDescent="0.25"/>
  <cols>
    <col min="1" max="1" width="23.109375" customWidth="1"/>
    <col min="2" max="2" width="67.109375" customWidth="1"/>
  </cols>
  <sheetData>
    <row r="1" spans="1:2" x14ac:dyDescent="0.25">
      <c r="A1" s="21" t="s">
        <v>1512</v>
      </c>
      <c r="B1" s="21"/>
    </row>
    <row r="2" spans="1:2" x14ac:dyDescent="0.25">
      <c r="A2" t="s">
        <v>1513</v>
      </c>
      <c r="B2" t="s">
        <v>1514</v>
      </c>
    </row>
    <row r="3" spans="1:2" x14ac:dyDescent="0.25">
      <c r="A3" t="s">
        <v>1515</v>
      </c>
      <c r="B3" t="s">
        <v>1516</v>
      </c>
    </row>
    <row r="4" spans="1:2" x14ac:dyDescent="0.25">
      <c r="A4" t="s">
        <v>1517</v>
      </c>
      <c r="B4" t="s">
        <v>1518</v>
      </c>
    </row>
    <row r="5" spans="1:2" x14ac:dyDescent="0.25">
      <c r="A5" t="s">
        <v>1519</v>
      </c>
      <c r="B5" t="s">
        <v>1520</v>
      </c>
    </row>
    <row r="6" spans="1:2" x14ac:dyDescent="0.25">
      <c r="A6" t="s">
        <v>1521</v>
      </c>
      <c r="B6" t="s">
        <v>1522</v>
      </c>
    </row>
    <row r="7" spans="1:2" x14ac:dyDescent="0.25">
      <c r="A7" t="s">
        <v>1523</v>
      </c>
      <c r="B7" t="s">
        <v>1524</v>
      </c>
    </row>
    <row r="8" spans="1:2" x14ac:dyDescent="0.25">
      <c r="A8" t="s">
        <v>1525</v>
      </c>
      <c r="B8" t="s">
        <v>1526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Лист3</vt:lpstr>
      <vt:lpstr>Export_preturi</vt:lpstr>
      <vt:lpstr>Instrucțiuni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alexandrbojonca@gmail.com</cp:lastModifiedBy>
  <dcterms:created xsi:type="dcterms:W3CDTF">2026-05-18T08:35:40Z</dcterms:created>
  <dcterms:modified xsi:type="dcterms:W3CDTF">2026-05-18T08:35:40Z</dcterms:modified>
</cp:coreProperties>
</file>